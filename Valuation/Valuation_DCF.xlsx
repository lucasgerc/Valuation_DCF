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EstaPastaDeTrabalho" defaultThemeVersion="124226"/>
  <mc:AlternateContent xmlns:mc="http://schemas.openxmlformats.org/markup-compatibility/2006">
    <mc:Choice Requires="x15">
      <x15ac:absPath xmlns:x15ac="http://schemas.microsoft.com/office/spreadsheetml/2010/11/ac" url="C:\Users\Lucas\Desktop\"/>
    </mc:Choice>
  </mc:AlternateContent>
  <xr:revisionPtr revIDLastSave="0" documentId="13_ncr:1_{486D7B07-2AC9-4BB8-A5C6-DB00DC3C2537}" xr6:coauthVersionLast="47" xr6:coauthVersionMax="47" xr10:uidLastSave="{00000000-0000-0000-0000-000000000000}"/>
  <bookViews>
    <workbookView xWindow="-108" yWindow="-108" windowWidth="23256" windowHeight="13896" tabRatio="809" xr2:uid="{FC356BE9-2973-4454-87D8-4E3034A938CC}"/>
  </bookViews>
  <sheets>
    <sheet name="Dashboard" sheetId="28" r:id="rId1"/>
    <sheet name="CB_DATA_" sheetId="29" state="veryHidden" r:id="rId2"/>
    <sheet name="Balanço Patrimonial" sheetId="26" r:id="rId3"/>
    <sheet name="DRE + DCF" sheetId="12" r:id="rId4"/>
    <sheet name="DFC" sheetId="25" state="hidden" r:id="rId5"/>
    <sheet name="Projeções - Receita Varejo" sheetId="20" r:id="rId6"/>
    <sheet name="Projeções - Receita Financeira" sheetId="27" r:id="rId7"/>
    <sheet name="Painel de Índices" sheetId="16" r:id="rId8"/>
    <sheet name="Lojas" sheetId="19" state="hidden" r:id="rId9"/>
  </sheets>
  <definedNames>
    <definedName name="ACOES_EMITIDAS">Dashboard!$C$8</definedName>
    <definedName name="APLICACOES_FINANCEIRAS">'Balanço Patrimonial'!#REF!</definedName>
    <definedName name="ATIVO">'Balanço Patrimonial'!#REF!</definedName>
    <definedName name="ATIVO_CIRC">'Balanço Patrimonial'!#REF!</definedName>
    <definedName name="ATIVO_OPERACIONAL">'Painel de Índices'!$C$34:$J$34</definedName>
    <definedName name="ATIVO_REALIZAVEL_LONGO_PRAZO">'Balanço Patrimonial'!#REF!</definedName>
    <definedName name="ATIVOS_NAO_OPERACIONAIS">Dashboard!$C$11</definedName>
    <definedName name="ATIVOS_PARTES_RELACIONADAS_CIRC">'Balanço Patrimonial'!#REF!</definedName>
    <definedName name="CAIXA_E_EQUIVALENTES">'Balanço Patrimonial'!#REF!</definedName>
    <definedName name="CAIXA_EXCESSO">'Balanço Patrimonial'!#REF!</definedName>
    <definedName name="CAIXA_EXCESSO_2023">'Balanço Patrimonial'!#REF!</definedName>
    <definedName name="CAIXA_OPERACIONAL">'Balanço Patrimonial'!#REF!</definedName>
    <definedName name="CAPEX">'DRE + DCF'!$C$108:$J$108</definedName>
    <definedName name="CAPEX_2024">'DRE + DCF'!#REF!</definedName>
    <definedName name="CAPEX_2025">'DRE + DCF'!#REF!</definedName>
    <definedName name="CAPEX_2026">'DRE + DCF'!#REF!</definedName>
    <definedName name="CAPEX_AQUISICOES_2024">'DRE + DCF'!#REF!</definedName>
    <definedName name="CAPEX_AQUISICOES_2025">'DRE + DCF'!#REF!</definedName>
    <definedName name="CAPEX_AQUISICOES_2026">'DRE + DCF'!#REF!</definedName>
    <definedName name="CAPEX_CD">'DRE + DCF'!$C$113:$J$113</definedName>
    <definedName name="CAPEX_CDS_2024">'DRE + DCF'!#REF!</definedName>
    <definedName name="CAPEX_CDS_2025">'DRE + DCF'!#REF!</definedName>
    <definedName name="CAPEX_CDS_2026">'DRE + DCF'!#REF!</definedName>
    <definedName name="CAPEX_NOVA_LOJA_2024">'DRE + DCF'!#REF!</definedName>
    <definedName name="CAPEX_NOVA_LOJA_2025">'DRE + DCF'!#REF!</definedName>
    <definedName name="CAPEX_NOVA_LOJA_2026">'DRE + DCF'!#REF!</definedName>
    <definedName name="CAPEX_NOVAS_LOJAS">'DRE + DCF'!$C$109:$J$109</definedName>
    <definedName name="CAPEX_NOVAS_LOJAS_TOTAL_2024">'DRE + DCF'!#REF!</definedName>
    <definedName name="CAPEX_NOVAS_LOJAS_TOTAL_2025">'DRE + DCF'!#REF!</definedName>
    <definedName name="CAPEX_NOVAS_LOJAS_TOTAL_2026">'DRE + DCF'!#REF!</definedName>
    <definedName name="CAPEX_REFORMA">'DRE + DCF'!$C$111:$J$111</definedName>
    <definedName name="CAPEX_REFORMAS_2024">'DRE + DCF'!#REF!</definedName>
    <definedName name="CAPEX_REFORMAS_2025">'DRE + DCF'!#REF!</definedName>
    <definedName name="CAPEX_REFORMAS_2026">'DRE + DCF'!#REF!</definedName>
    <definedName name="CAPEX_TI">'DRE + DCF'!$C$115:$J$115</definedName>
    <definedName name="CAPEX_TI_OUTROS_2024">'DRE + DCF'!#REF!</definedName>
    <definedName name="CAPEX_TI_OUTROS_2025">'DRE + DCF'!#REF!</definedName>
    <definedName name="CAPEX_TI_OUTROS_2026">'DRE + DCF'!#REF!</definedName>
    <definedName name="CAPITAL_DE_GIRO">'Painel de Índices'!$C$36:$J$36</definedName>
    <definedName name="CAPITAL_DE_GIRO_RL_2023">'Painel de Índices'!$J$37</definedName>
    <definedName name="CAPITAL_GIRO_2016">'Painel de Índices'!$C$36</definedName>
    <definedName name="CAPITAL_GIRO_2017">'Painel de Índices'!$D$36</definedName>
    <definedName name="CAPITAL_GIRO_2018">'Painel de Índices'!$E$36</definedName>
    <definedName name="CAPITAL_GIRO_2019">'Painel de Índices'!$F$36</definedName>
    <definedName name="CAPITAL_GIRO_2020">'Painel de Índices'!$G$36</definedName>
    <definedName name="CAPITAL_GIRO_2021">'Painel de Índices'!$H$36</definedName>
    <definedName name="CAPITAL_GIRO_2022">'Painel de Índices'!$I$36</definedName>
    <definedName name="CAPITAL_GIRO_2023">'Painel de Índices'!$J$36</definedName>
    <definedName name="CARTEIRA_CREDITO_GUAR">'Projeções - Receita Financeira'!#REF!</definedName>
    <definedName name="CARTEIRA_CREDITO_LREN">'Projeções - Receita Financeira'!#REF!</definedName>
    <definedName name="CARTEIRA_CREDITO_SETORIAL">'Projeções - Receita Financeira'!#REF!</definedName>
    <definedName name="CARTOES_TOTAL_2023">'Projeções - Receita Financeira'!$J$12</definedName>
    <definedName name="CARTOES_TOTAL_2024">'Projeções - Receita Financeira'!#REF!</definedName>
    <definedName name="CARTOES_TOTAL_2025">'Projeções - Receita Financeira'!#REF!</definedName>
    <definedName name="CARTOES_TOTAL_2026">'Projeções - Receita Financeira'!#REF!</definedName>
    <definedName name="CB_02867bc16b8a4a4b96cb61ec8b9ba857" localSheetId="5" hidden="1">'Projeções - Receita Varejo'!#REF!</definedName>
    <definedName name="CB_195f4f49eb3648f69c3cdcb700e95eca" localSheetId="1" hidden="1">#N/A</definedName>
    <definedName name="CB_1aa91b93d1dd4f969e6fe6109f664adc" localSheetId="3" hidden="1">'DRE + DCF'!#REF!</definedName>
    <definedName name="CB_1d13652509cc4d38be742d062ecec1af" localSheetId="3" hidden="1">'DRE + DCF'!#REF!</definedName>
    <definedName name="CB_1d7689db84994b3f93ffca2e1ec96b5c" localSheetId="6" hidden="1">'Projeções - Receita Financeira'!#REF!</definedName>
    <definedName name="CB_2559aa49a98f421f81ed06c74758ed76" localSheetId="5" hidden="1">'Projeções - Receita Varejo'!#REF!</definedName>
    <definedName name="CB_394f9b5152764d4bb739afd71bb2cad9" localSheetId="3" hidden="1">'DRE + DCF'!#REF!</definedName>
    <definedName name="CB_3a9bdfd633d942e59764c64454525f23" localSheetId="5" hidden="1">'Projeções - Receita Varejo'!#REF!</definedName>
    <definedName name="CB_3e5d42db0cd94446829b227353eefadf" localSheetId="3" hidden="1">'DRE + DCF'!#REF!</definedName>
    <definedName name="CB_43473a471f2343d589c3e05879af6cf1" localSheetId="6" hidden="1">'Projeções - Receita Financeira'!#REF!</definedName>
    <definedName name="CB_4643fc1d1f664890b3a965329b14ca56" localSheetId="5" hidden="1">'Projeções - Receita Varejo'!#REF!</definedName>
    <definedName name="CB_4a65f80da33f4ce8a31c3d95785c9014" localSheetId="6" hidden="1">'Projeções - Receita Financeira'!#REF!</definedName>
    <definedName name="CB_4bb97fc66e5741ea9c6bf96a0431bdad" localSheetId="6" hidden="1">'Projeções - Receita Financeira'!#REF!</definedName>
    <definedName name="CB_57854e5bfde44fe6892b069cc265c273" localSheetId="5" hidden="1">'Projeções - Receita Varejo'!#REF!</definedName>
    <definedName name="CB_5e4833eafe994cff95bb58cee627be9f" localSheetId="5" hidden="1">'Projeções - Receita Varejo'!#REF!</definedName>
    <definedName name="CB_6b848b5367c846188d86cdd9eb106d96" localSheetId="5" hidden="1">'Projeções - Receita Varejo'!#REF!</definedName>
    <definedName name="CB_7de09062b6df41a6989966fdcfdf1d53" localSheetId="3" hidden="1">'DRE + DCF'!#REF!</definedName>
    <definedName name="CB_7f63276bd7254d1092141092e258d416" localSheetId="5" hidden="1">'Projeções - Receita Varejo'!#REF!</definedName>
    <definedName name="CB_83eff2ebcea943f28ed72986d41d7807" localSheetId="6" hidden="1">'Projeções - Receita Financeira'!#REF!</definedName>
    <definedName name="CB_94d89c75dcf9446080a6ac5092f8b3ad" localSheetId="3" hidden="1">'DRE + DCF'!#REF!</definedName>
    <definedName name="CB_9da894a79a4846e2b76802f8adb985a3" localSheetId="6" hidden="1">'Projeções - Receita Financeira'!#REF!</definedName>
    <definedName name="CB_9e09f7c4ee894d0fabd2329bd08572ba" localSheetId="3" hidden="1">'DRE + DCF'!#REF!</definedName>
    <definedName name="CB_b3f954a3c02a4354b9122f7f638d33a5" localSheetId="3" hidden="1">'DRE + DCF'!#REF!</definedName>
    <definedName name="CB_bd17bd44c03e4f6088839b54dd851581" localSheetId="1" hidden="1">#N/A</definedName>
    <definedName name="CB_Block_00000000000000000000000000000000" localSheetId="1" hidden="1">"'7.0.0.0"</definedName>
    <definedName name="CB_Block_00000000000000000000000000000000" localSheetId="0" hidden="1">"'7.0.0.0"</definedName>
    <definedName name="CB_Block_00000000000000000000000000000000" localSheetId="3" hidden="1">"'7.0.0.0"</definedName>
    <definedName name="CB_Block_00000000000000000000000000000000" localSheetId="6" hidden="1">"'7.0.0.0"</definedName>
    <definedName name="CB_Block_00000000000000000000000000000000" localSheetId="5" hidden="1">"'7.0.0.0"</definedName>
    <definedName name="CB_Block_00000000000000000000000000000001" localSheetId="1" hidden="1">"'638737557010365157"</definedName>
    <definedName name="CB_Block_00000000000000000000000000000001" localSheetId="0" hidden="1">"'638737557010677529"</definedName>
    <definedName name="CB_Block_00000000000000000000000000000001" localSheetId="3" hidden="1">"'638737557010521405"</definedName>
    <definedName name="CB_Block_00000000000000000000000000000001" localSheetId="6" hidden="1">"'638737557009937168"</definedName>
    <definedName name="CB_Block_00000000000000000000000000000001" localSheetId="5" hidden="1">"'638737557010052448"</definedName>
    <definedName name="CB_Block_00000000000000000000000000000003" localSheetId="1" hidden="1">"'11.1.5072.0"</definedName>
    <definedName name="CB_Block_00000000000000000000000000000003" localSheetId="0" hidden="1">"'11.1.5072.0"</definedName>
    <definedName name="CB_Block_00000000000000000000000000000003" localSheetId="3" hidden="1">"'11.1.5072.0"</definedName>
    <definedName name="CB_Block_00000000000000000000000000000003" localSheetId="6" hidden="1">"'11.1.5072.0"</definedName>
    <definedName name="CB_Block_00000000000000000000000000000003" localSheetId="5" hidden="1">"'11.1.5072.0"</definedName>
    <definedName name="CB_BlockExt_00000000000000000000000000000003" localSheetId="1" hidden="1">"'11.1.3.0.000"</definedName>
    <definedName name="CB_BlockExt_00000000000000000000000000000003" localSheetId="0" hidden="1">"'11.1.3.0.000"</definedName>
    <definedName name="CB_BlockExt_00000000000000000000000000000003" localSheetId="3" hidden="1">"'11.1.3.0.000"</definedName>
    <definedName name="CB_BlockExt_00000000000000000000000000000003" localSheetId="6" hidden="1">"'11.1.3.0.000"</definedName>
    <definedName name="CB_BlockExt_00000000000000000000000000000003" localSheetId="5" hidden="1">"'11.1.3.0.000"</definedName>
    <definedName name="CB_c1a0464bf0504827a6a14deae3d3d945" localSheetId="0" hidden="1">Dashboard!$C$14</definedName>
    <definedName name="CB_c50bc365a5b047c9aae9b5f979673e3a" localSheetId="6" hidden="1">'Projeções - Receita Financeira'!#REF!</definedName>
    <definedName name="CB_d84be24f1615467cacc1c9e12245f528" localSheetId="6" hidden="1">'Projeções - Receita Financeira'!#REF!</definedName>
    <definedName name="CB_deab30bb1f35434b9e10ff1a59b1c5fd" localSheetId="3" hidden="1">'DRE + DCF'!#REF!</definedName>
    <definedName name="CB_e2348d1c9a494820aa4ca44a9fc8591c" localSheetId="1" hidden="1">#N/A</definedName>
    <definedName name="CB_e8f26d90363a4058bf86728260cac1e7" localSheetId="5" hidden="1">'Projeções - Receita Varejo'!#REF!</definedName>
    <definedName name="CB_eac80d6d266e4ee7922e04c4ae7c1b62" localSheetId="6" hidden="1">'Projeções - Receita Financeira'!#REF!</definedName>
    <definedName name="CBWorkbookPriority" localSheetId="1" hidden="1">-3241565497799080</definedName>
    <definedName name="CBx_2f2aa0ed12a4499281ddda990bbbf91a" localSheetId="1" hidden="1">"'Projeções - Receita Varejo'!$A$1"</definedName>
    <definedName name="CBx_2fd5d0dded9843c4acc2c8d54ef51158" localSheetId="1" hidden="1">"'Projeções - Receita Financeira'!$A$1"</definedName>
    <definedName name="CBx_721bbdf098dc46f2a6d5d01614a3bb8f" localSheetId="1" hidden="1">"'DRE + DCF'!$A$1"</definedName>
    <definedName name="CBx_a78e4722ba61496f8aea7eab1baa3de2" localSheetId="1" hidden="1">"'Dashboard'!$A$1"</definedName>
    <definedName name="CBx_f06a8309f4cc4db397007b59148c86ce" localSheetId="1" hidden="1">"'CB_DATA_'!$A$1"</definedName>
    <definedName name="CBx_Sheet_Guid" localSheetId="1" hidden="1">"'f06a8309-f4cc-4db3-9700-7b59148c86ce"</definedName>
    <definedName name="CBx_Sheet_Guid" localSheetId="0" hidden="1">"'a78e4722-ba61-496f-8aea-7eab1baa3de2"</definedName>
    <definedName name="CBx_Sheet_Guid" localSheetId="3" hidden="1">"'721bbdf0-98dc-46f2-a6d5-d01614a3bb8f"</definedName>
    <definedName name="CBx_Sheet_Guid" localSheetId="6" hidden="1">"'2fd5d0dd-ed98-43c4-acc2-c8d54ef51158"</definedName>
    <definedName name="CBx_Sheet_Guid" localSheetId="5" hidden="1">"'2f2aa0ed-12a4-4992-81dd-da990bbbf91a"</definedName>
    <definedName name="CBx_SheetRef" localSheetId="1" hidden="1">CB_DATA_!$A$14</definedName>
    <definedName name="CBx_SheetRef" localSheetId="0" hidden="1">CB_DATA_!$E$14</definedName>
    <definedName name="CBx_SheetRef" localSheetId="3" hidden="1">CB_DATA_!$B$14</definedName>
    <definedName name="CBx_SheetRef" localSheetId="6" hidden="1">CB_DATA_!$C$14</definedName>
    <definedName name="CBx_SheetRef" localSheetId="5" hidden="1">CB_DATA_!$D$14</definedName>
    <definedName name="CBx_StorageType" localSheetId="1" hidden="1">2</definedName>
    <definedName name="CBx_StorageType" localSheetId="0" hidden="1">2</definedName>
    <definedName name="CBx_StorageType" localSheetId="3" hidden="1">2</definedName>
    <definedName name="CBx_StorageType" localSheetId="6" hidden="1">2</definedName>
    <definedName name="CBx_StorageType" localSheetId="5" hidden="1">2</definedName>
    <definedName name="CMV">'DRE + DCF'!$C$14:$J$14</definedName>
    <definedName name="CONTAS_A_RECEBER">'Balanço Patrimonial'!#REF!</definedName>
    <definedName name="COTACAO">Dashboard!$C$15</definedName>
    <definedName name="CREDITOS_TRIBUTARIOS">Dashboard!$C$12</definedName>
    <definedName name="CURVA_MATURACAO">'Projeções - Receita Varejo'!$C$21:$C$24</definedName>
    <definedName name="CUSTO_DA_DIVIDA">'Painel de Índices'!$C$27:$J$27</definedName>
    <definedName name="DA_ARRENDAMENTO">'DRE + DCF'!$C$28:$J$28+'DRE + DCF'!$C$38:$J$38</definedName>
    <definedName name="DEPOSITOS_JUDICIAIS_NAO_CIRC_2023">'Balanço Patrimonial'!#REF!</definedName>
    <definedName name="DEPRECIACAO_E_AMORTIZACAO">'DRE + DCF'!$C$39:$J$39+'DRE + DCF'!$C$29:$J$29</definedName>
    <definedName name="DEPRECIACAO_E_AMORTIZACAO_2024">'DRE + DCF'!#REF!</definedName>
    <definedName name="DEPRECIACAO_E_AMORTIZACAO_2025">'DRE + DCF'!#REF!</definedName>
    <definedName name="DEPRECIACAO_E_AMORTIZACAO_2026">'DRE + DCF'!#REF!</definedName>
    <definedName name="DESP_DERIVATIVOS">'DRE + DCF'!$C$88:$J$88</definedName>
    <definedName name="DESP_FIN">'DRE + DCF'!$C$80:$J$80</definedName>
    <definedName name="DESP_VAR_CAMBIAL">'DRE + DCF'!$C$89:$J$89</definedName>
    <definedName name="DESPESAS_OPERACIONAIS">'DRE + DCF'!$C$23:$J$23</definedName>
    <definedName name="DESPESAS_OPERACIONAIS_2024">'DRE + DCF'!#REF!</definedName>
    <definedName name="DESPESAS_OPERACIONAIS_2025">'DRE + DCF'!#REF!</definedName>
    <definedName name="DESPESAS_OPERACIONAIS_2026">'DRE + DCF'!#REF!</definedName>
    <definedName name="DIVIDA_BRUTA">'Painel de Índices'!$C$19:$J$19</definedName>
    <definedName name="DIVIDA_LIQUIDA">'Painel de Índices'!$C$23:$J$23</definedName>
    <definedName name="EBIT">'DRE + DCF'!$C$62:$J$62</definedName>
    <definedName name="EBIT_RECORRENTE">'DRE + DCF'!$C$64:$J$64</definedName>
    <definedName name="EBITDA">'Painel de Índices'!$C$17:$J$17</definedName>
    <definedName name="EBITDA_RECORRENTE">'Painel de Índices'!$C$18:$J$18</definedName>
    <definedName name="EMPRESTIMOS_CIRC">'Balanço Patrimonial'!#REF!</definedName>
    <definedName name="EMPRESTIMOS_CIRC_2023">'Balanço Patrimonial'!#REF!</definedName>
    <definedName name="EMPRESTIMOS_NAO_CIRC">'Balanço Patrimonial'!#REF!</definedName>
    <definedName name="EMPRESTIMOS_NAO_CIRC_2023">'Balanço Patrimonial'!#REF!</definedName>
    <definedName name="ESTAGIO_1_SETORIAL">_xlfn.HSTACK('Projeções - Receita Financeira'!#REF!,'Projeções - Receita Financeira'!#REF!)</definedName>
    <definedName name="ESTAGIO_1_SETORIAL_2023">'Projeções - Receita Financeira'!#REF!</definedName>
    <definedName name="ESTAGIO_2_SETORIAL">_xlfn.HSTACK('Projeções - Receita Financeira'!#REF!,'Projeções - Receita Financeira'!#REF!)</definedName>
    <definedName name="ESTAGIO_2_SETORIAL_2023">'Projeções - Receita Financeira'!#REF!</definedName>
    <definedName name="ESTAGIO_3_SETORIAL">_xlfn.HSTACK('Projeções - Receita Financeira'!#REF!,'Projeções - Receita Financeira'!#REF!)</definedName>
    <definedName name="ESTAGIO_3_SETORIAL_2023">'Projeções - Receita Financeira'!#REF!</definedName>
    <definedName name="ESTOQUES">'Balanço Patrimonial'!#REF!</definedName>
    <definedName name="FCO">DFC!$C$8:$J$8</definedName>
    <definedName name="FORNECEDORES_CIRC">'Balanço Patrimonial'!#REF!</definedName>
    <definedName name="INFLACAO_2024">'Painel de Índices'!#REF!</definedName>
    <definedName name="INFLACAO_2025">'Painel de Índices'!#REF!</definedName>
    <definedName name="INFLACAO_2026">'Painel de Índices'!#REF!</definedName>
    <definedName name="IRPJ_CSLL">'DRE + DCF'!$C$95:$J$95</definedName>
    <definedName name="JUROS_APLICACOES_FIN">'DRE + DCF'!$C$69:$J$69</definedName>
    <definedName name="LOJAS_ABERTURA">Lojas!$H:$H</definedName>
    <definedName name="LOJAS_AREA_TOTAL">'Projeções - Receita Varejo'!$C$11:$J$11</definedName>
    <definedName name="LOJAS_MATURIDADE">'Projeções - Receita Varejo'!$C$12:$J$15</definedName>
    <definedName name="LOJAS_TAMANHO">Lojas!$C:$C</definedName>
    <definedName name="LUCRO_BRUTO_2024">'DRE + DCF'!#REF!</definedName>
    <definedName name="LUCRO_BRUTO_2025">'DRE + DCF'!#REF!</definedName>
    <definedName name="LUCRO_BRUTO_2026">'DRE + DCF'!#REF!</definedName>
    <definedName name="LUCRO_LIQUIDO">'DRE + DCF'!$C$97:$J$97</definedName>
    <definedName name="MARGEM_EBIT">'DRE + DCF'!#REF!</definedName>
    <definedName name="MARGEM_EBIT_NAO_RECORRENTE">'DRE + DCF'!#REF!</definedName>
    <definedName name="MARGEM_EBIT_RECORRENTE">'DRE + DCF'!#REF!</definedName>
    <definedName name="MATRIZ_MENOR">_xlfn._xlws.FILTER(Dashboard!$G$7:$O$15,Dashboard!$G$7:$O$15&lt;Dashboard!$C$15)</definedName>
    <definedName name="NOPAT">'DRE + DCF'!$C$100:$J$100</definedName>
    <definedName name="NOVAS_LOJAS">'Projeções - Receita Varejo'!$C$9:$J$9</definedName>
    <definedName name="NOVAS_LOJAS_2024E">'Projeções - Receita Varejo'!#REF!</definedName>
    <definedName name="NOVAS_LOJAS_2025E">'Projeções - Receita Varejo'!#REF!</definedName>
    <definedName name="NOVAS_LOJAS_2026E">'Projeções - Receita Varejo'!#REF!</definedName>
    <definedName name="NOVOS_CARTOES_2024">'Projeções - Receita Financeira'!#REF!</definedName>
    <definedName name="NOVOS_CARTOES_2025">'Projeções - Receita Financeira'!#REF!</definedName>
    <definedName name="NOVOS_CARTOES_2026">'Projeções - Receita Financeira'!#REF!</definedName>
    <definedName name="NUMERO_LOJAS">'Projeções - Receita Varejo'!$C$8:$J$8</definedName>
    <definedName name="NUMERO_LOJAS_2024E">'Projeções - Receita Varejo'!#REF!</definedName>
    <definedName name="NUMERO_LOJAS_2025E">'Projeções - Receita Varejo'!#REF!</definedName>
    <definedName name="NUMERO_LOJAS_2026E">'Projeções - Receita Varejo'!#REF!</definedName>
    <definedName name="OUTRAS_OBRIG_CIRC">'Balanço Patrimonial'!#REF!</definedName>
    <definedName name="OUTROS_CIRC">'Balanço Patrimonial'!#REF!</definedName>
    <definedName name="PASSIVO_CIRC">'Balanço Patrimonial'!#REF!</definedName>
    <definedName name="PASSIVO_NAO_CIRC">'Balanço Patrimonial'!#REF!</definedName>
    <definedName name="PASSIVO_OPERACIONAL">'Painel de Índices'!$C$35:$J$35</definedName>
    <definedName name="PASSIVO_PARTES_RELACIONADAS_CIRC">'Balanço Patrimonial'!#REF!</definedName>
    <definedName name="PASSIVO_PARTES_RELACIONADAS_N_CIRC">'Balanço Patrimonial'!#REF!</definedName>
    <definedName name="PDD_PERCENTUAL_CARTEIRA_SETORIAL">'Projeções - Receita Financeira'!#REF!</definedName>
    <definedName name="PDD_SETORIAL">'Projeções - Receita Financeira'!#REF!</definedName>
    <definedName name="PERDAS_CREDITOS_LIQUIDAS">'DRE + DCF'!$C$42:$J$42</definedName>
    <definedName name="PIB_CRESC_REAL_2024">'Painel de Índices'!#REF!</definedName>
    <definedName name="PIB_CRESC_REAL_2025">'Painel de Índices'!#REF!</definedName>
    <definedName name="PIB_CRESC_REAL_2026">'Painel de Índices'!#REF!</definedName>
    <definedName name="PL">'Balanço Patrimonial'!#REF!</definedName>
    <definedName name="PME">'Painel de Índices'!$C$31:$J$31</definedName>
    <definedName name="PMP">'Painel de Índices'!$C$32:$J$32</definedName>
    <definedName name="PMR">'Painel de Índices'!$C$30:$J$30</definedName>
    <definedName name="PROVISOES_NAO_CIRC_2023">'Balanço Patrimonial'!#REF!</definedName>
    <definedName name="RECEITA_BRADESCARD_2024E">'Projeções - Receita Financeira'!#REF!</definedName>
    <definedName name="RECEITA_BRADESCARD_2025E">'Projeções - Receita Financeira'!#REF!</definedName>
    <definedName name="RECEITA_BRADESCARD_2026E">'Projeções - Receita Financeira'!#REF!</definedName>
    <definedName name="RECEITA_BRUTA">'DRE + DCF'!$C$8:$J$8</definedName>
    <definedName name="RECEITA_CEAPAY_2024E">'Projeções - Receita Financeira'!#REF!</definedName>
    <definedName name="RECEITA_CEAPAY_2025E">'Projeções - Receita Financeira'!#REF!</definedName>
    <definedName name="RECEITA_CEAPAY_2026E">'Projeções - Receita Financeira'!#REF!</definedName>
    <definedName name="RECEITA_LIQUIDA">'DRE + DCF'!$C$10:$J$10</definedName>
    <definedName name="RECEITA_LIQUIDA_2024">'DRE + DCF'!#REF!</definedName>
    <definedName name="RECEITA_LIQUIDA_2025">'DRE + DCF'!#REF!</definedName>
    <definedName name="RECEITA_LIQUIDA_2026">'DRE + DCF'!#REF!</definedName>
    <definedName name="REINVESTIMENTO">'DRE + DCF'!$C$104:$J$104</definedName>
    <definedName name="REINVESTIMENTO_2024">'DRE + DCF'!#REF!</definedName>
    <definedName name="REINVESTIMENTO_2025">'DRE + DCF'!#REF!</definedName>
    <definedName name="REINVESTIMENTO_2026">'DRE + DCF'!#REF!</definedName>
    <definedName name="RISCO_SACADO">'Balanço Patrimonial'!#REF!</definedName>
    <definedName name="RISCO_SACADO_2023">'Balanço Patrimonial'!#REF!</definedName>
    <definedName name="RL_FIN">'DRE + DCF'!$C$12:$J$12</definedName>
    <definedName name="RL_FIN_GUAR">'Projeções - Receita Financeira'!#REF!</definedName>
    <definedName name="RL_FIN_LREN">'Projeções - Receita Financeira'!#REF!</definedName>
    <definedName name="RL_FIN_SETORIAL">'Projeções - Receita Financeira'!#REF!</definedName>
    <definedName name="RL_FIN_SETORIAL_PERCENTUAL_CARTEIRA">_xlfn.HSTACK('Projeções - Receita Financeira'!#REF!,'Projeções - Receita Financeira'!#REF!)</definedName>
    <definedName name="RL_OUTROS">'DRE + DCF'!$C$13:$J$13</definedName>
    <definedName name="RL_VAREJO">'DRE + DCF'!$C$11:$J$11</definedName>
    <definedName name="ROIC">'Painel de Índices'!$C$14:$J$14</definedName>
    <definedName name="SALARIOS">'Balanço Patrimonial'!#REF!</definedName>
    <definedName name="solver_adj" localSheetId="3" hidden="1">'DRE + DCF'!$M$121</definedName>
    <definedName name="solver_cvg" localSheetId="3" hidden="1">0.0001</definedName>
    <definedName name="solver_drv" localSheetId="3" hidden="1">2</definedName>
    <definedName name="solver_eng" localSheetId="0" hidden="1">1</definedName>
    <definedName name="solver_eng" localSheetId="3" hidden="1">1</definedName>
    <definedName name="solver_est" localSheetId="3" hidden="1">1</definedName>
    <definedName name="solver_itr" localSheetId="3" hidden="1">2147483647</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0" hidden="1">1</definedName>
    <definedName name="solver_neg" localSheetId="3" hidden="1">1</definedName>
    <definedName name="solver_nod" localSheetId="3" hidden="1">2147483647</definedName>
    <definedName name="solver_num" localSheetId="0" hidden="1">0</definedName>
    <definedName name="solver_num" localSheetId="3" hidden="1">0</definedName>
    <definedName name="solver_nwt" localSheetId="3" hidden="1">1</definedName>
    <definedName name="solver_opt" localSheetId="0" hidden="1">Dashboard!$F$6</definedName>
    <definedName name="solver_opt" localSheetId="3" hidden="1">'DRE + DCF'!$L$137</definedName>
    <definedName name="solver_pre" localSheetId="3" hidden="1">0.000001</definedName>
    <definedName name="solver_rbv" localSheetId="3" hidden="1">2</definedName>
    <definedName name="solver_rlx" localSheetId="3" hidden="1">2</definedName>
    <definedName name="solver_rsd" localSheetId="3" hidden="1">0</definedName>
    <definedName name="solver_scl" localSheetId="3" hidden="1">2</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0" hidden="1">1</definedName>
    <definedName name="solver_typ" localSheetId="3" hidden="1">3</definedName>
    <definedName name="solver_val" localSheetId="0" hidden="1">0</definedName>
    <definedName name="solver_val" localSheetId="3" hidden="1">0</definedName>
    <definedName name="solver_ver" localSheetId="0" hidden="1">3</definedName>
    <definedName name="solver_ver" localSheetId="3" hidden="1">3</definedName>
    <definedName name="T_ESTAGIO_1_SETORIAL">TRANSPOSE(ESTAGIO_1_SETORIAL)</definedName>
    <definedName name="T_ESTAGIO_2_SETORIAL">TRANSPOSE(ESTAGIO_2_SETORIAL)</definedName>
    <definedName name="T_ESTAGIO_3_SETORIAL">TRANSPOSE(ESTAGIO_3_SETORIAL)</definedName>
    <definedName name="T_RL_FIN_PERCENTUAL_CARTEIRA_SETORIAL">TRANSPOSE('Projeções - Receita Financeira'!#REF!)</definedName>
    <definedName name="T_TAXA_SELIC_MEDIA">TRANSPOSE(TAXA_SELIC_MEDIA)</definedName>
    <definedName name="TAXA_REINVESTIMENTO">'DRE + DCF'!$C$103:$J$103</definedName>
    <definedName name="TAXA_SELIC_MEDIA">_xlfn.HSTACK('Projeções - Receita Financeira'!#REF!,'Projeções - Receita Financeira'!#REF!)</definedName>
    <definedName name="TRIBUTOS_A_PAGAR">'Balanço Patrimonial'!#REF!</definedName>
    <definedName name="TRIBUTOS_A_RECUPERAR_CIRC">'Balanço Patrimonial'!#REF!</definedName>
    <definedName name="TRIBUTOS_A_RECUPERAR_CIRC_2023">'Balanço Patrimonial'!#REF!</definedName>
    <definedName name="TRIBUTOS_A_RECUPERAR_N_CIRC">'Balanço Patrimonial'!#REF!</definedName>
    <definedName name="TRIBUTOS_A_RECUPERAR_NAO_CIRC_2023">'Balanço Patrimonial'!#REF!</definedName>
    <definedName name="VALOR_ACAO">Dashboard!$C$14</definedName>
    <definedName name="VALOR_EQUITY">Dashboard!$C$13</definedName>
    <definedName name="VALOR_FIRMA">Dashboard!$C$9</definedName>
    <definedName name="VALORES_X_REGRESSAO">_xlfn.HSTACK(T_ESTAGIO_2_SETORIAL,T_ESTAGIO_3_SETORIAL,T_TAXA_SELIC_MEDIA)</definedName>
    <definedName name="VALORES_Y_REGRESSAO">TRANSPOSE(RL_FIN_SETORIAL_PERCENTUAL_CARTEIRA)</definedName>
    <definedName name="VAR_CAPITAL_GIRO">'DRE + DCF'!$C$105:$J$105</definedName>
    <definedName name="VAR_CAPITAL_GIRO_2024">'DRE + DCF'!#REF!</definedName>
    <definedName name="VAR_CAPITAL_GIRO_2025">'DRE + DCF'!#REF!</definedName>
    <definedName name="VAR_CAPITAL_GIRO_2026">'DRE + DCF'!#REF!</definedName>
    <definedName name="VOLUME_CARTAO_LREN_2023">'Projeções - Receita Financeira'!#REF!</definedName>
  </definedNames>
  <calcPr calcId="191029" concurrentCalc="0" concurrentManualCount="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22" i="12" l="1"/>
  <c r="M126" i="12"/>
  <c r="N122" i="12"/>
  <c r="N126" i="12"/>
  <c r="O122" i="12"/>
  <c r="O126" i="12"/>
  <c r="P122" i="12"/>
  <c r="P126" i="12"/>
  <c r="L16" i="28"/>
  <c r="M16" i="28"/>
  <c r="N16" i="28"/>
  <c r="O16" i="28"/>
  <c r="L6" i="28"/>
  <c r="M6" i="28"/>
  <c r="N6" i="28"/>
  <c r="O6" i="28"/>
  <c r="J6" i="28"/>
  <c r="I6" i="28"/>
  <c r="H6" i="28"/>
  <c r="G6" i="28"/>
  <c r="J16" i="28"/>
  <c r="I16" i="28"/>
  <c r="H16" i="28"/>
  <c r="G16" i="28"/>
  <c r="C10" i="28"/>
  <c r="C8" i="28"/>
  <c r="P127" i="12"/>
  <c r="O127" i="12"/>
  <c r="N127" i="12"/>
  <c r="M127" i="12"/>
  <c r="N120" i="12"/>
  <c r="O120" i="12"/>
  <c r="P120" i="12"/>
  <c r="M120" i="12"/>
  <c r="L81" i="26"/>
  <c r="K81" i="26"/>
  <c r="J81" i="26"/>
  <c r="I81" i="26"/>
  <c r="H81" i="26"/>
  <c r="G81" i="26"/>
  <c r="F81" i="26"/>
  <c r="E81" i="26"/>
  <c r="D81" i="26"/>
  <c r="C81" i="26"/>
  <c r="L68" i="26"/>
  <c r="L65" i="26"/>
  <c r="L62" i="26"/>
  <c r="L61" i="26"/>
  <c r="K61" i="26"/>
  <c r="J61" i="26"/>
  <c r="I61" i="26"/>
  <c r="H61" i="26"/>
  <c r="G61" i="26"/>
  <c r="F61" i="26"/>
  <c r="E61" i="26"/>
  <c r="D61" i="26"/>
  <c r="C61" i="26"/>
  <c r="L57" i="26"/>
  <c r="L54" i="26"/>
  <c r="L38" i="26"/>
  <c r="L37" i="26"/>
  <c r="L51" i="26"/>
  <c r="L41" i="26"/>
  <c r="K38" i="26"/>
  <c r="K37" i="26"/>
  <c r="J38" i="26"/>
  <c r="J37" i="26"/>
  <c r="I38" i="26"/>
  <c r="I37" i="26"/>
  <c r="H38" i="26"/>
  <c r="H37" i="26"/>
  <c r="G38" i="26"/>
  <c r="G37" i="26"/>
  <c r="F38" i="26"/>
  <c r="F37" i="26"/>
  <c r="E38" i="26"/>
  <c r="E37" i="26"/>
  <c r="D38" i="26"/>
  <c r="D37" i="26"/>
  <c r="C38" i="26"/>
  <c r="C37" i="26"/>
  <c r="L21" i="26"/>
  <c r="K21" i="26"/>
  <c r="J21" i="26"/>
  <c r="I21" i="26"/>
  <c r="H21" i="26"/>
  <c r="G21" i="26"/>
  <c r="F21" i="26"/>
  <c r="E21" i="26"/>
  <c r="D21" i="26"/>
  <c r="C21" i="26"/>
  <c r="L17" i="26"/>
  <c r="L16" i="26"/>
  <c r="L6" i="26"/>
  <c r="L5" i="26"/>
  <c r="K6" i="26"/>
  <c r="K5" i="26"/>
  <c r="J6" i="26"/>
  <c r="J5" i="26"/>
  <c r="I6" i="26"/>
  <c r="I5" i="26"/>
  <c r="H6" i="26"/>
  <c r="H5" i="26"/>
  <c r="G6" i="26"/>
  <c r="F6" i="26"/>
  <c r="E6" i="26"/>
  <c r="E5" i="26"/>
  <c r="D6" i="26"/>
  <c r="D5" i="26"/>
  <c r="C6" i="26"/>
  <c r="C5" i="26"/>
  <c r="G5" i="26"/>
  <c r="F5" i="26"/>
  <c r="D4" i="26"/>
  <c r="E4" i="26"/>
  <c r="F4" i="26"/>
  <c r="G4" i="26"/>
  <c r="H4" i="26"/>
  <c r="I4" i="26"/>
  <c r="J4" i="26"/>
  <c r="K4" i="26"/>
  <c r="L110" i="12"/>
  <c r="K110" i="12"/>
  <c r="M112" i="12"/>
  <c r="N112" i="12"/>
  <c r="M114" i="12"/>
  <c r="N114" i="12"/>
  <c r="M116" i="12"/>
  <c r="N116" i="12"/>
  <c r="L106" i="12"/>
  <c r="K106" i="12"/>
  <c r="O116" i="12"/>
  <c r="O114" i="12"/>
  <c r="P116" i="12"/>
  <c r="P114" i="12"/>
  <c r="O112" i="12"/>
  <c r="P112" i="12"/>
  <c r="L17" i="27"/>
  <c r="L19" i="27"/>
  <c r="K17" i="27"/>
  <c r="K19" i="27"/>
  <c r="K9" i="27"/>
  <c r="L27" i="20"/>
  <c r="K27" i="20"/>
  <c r="K12" i="20"/>
  <c r="L12" i="20"/>
  <c r="K13" i="20"/>
  <c r="L13" i="20"/>
  <c r="K14" i="20"/>
  <c r="L14" i="20"/>
  <c r="M13" i="20"/>
  <c r="K15" i="20"/>
  <c r="L15" i="20"/>
  <c r="M14" i="20"/>
  <c r="N13" i="20"/>
  <c r="C12" i="20"/>
  <c r="C13" i="20"/>
  <c r="C14" i="20"/>
  <c r="C15" i="20"/>
  <c r="M12" i="20"/>
  <c r="N12" i="20"/>
  <c r="O12" i="20"/>
  <c r="L17" i="20"/>
  <c r="L18" i="20"/>
  <c r="C17" i="20"/>
  <c r="K17" i="20"/>
  <c r="K18" i="20"/>
  <c r="L11" i="20"/>
  <c r="K11" i="20"/>
  <c r="L101" i="12"/>
  <c r="K101" i="12"/>
  <c r="H96" i="12"/>
  <c r="I96" i="12"/>
  <c r="J96" i="12"/>
  <c r="L80" i="12"/>
  <c r="L68" i="12"/>
  <c r="K68" i="12"/>
  <c r="H63" i="12"/>
  <c r="I63" i="12"/>
  <c r="J63" i="12"/>
  <c r="K63" i="12"/>
  <c r="K43" i="12"/>
  <c r="L43" i="12"/>
  <c r="L41" i="12"/>
  <c r="L33" i="12"/>
  <c r="K27" i="12"/>
  <c r="L23" i="12"/>
  <c r="K23" i="12"/>
  <c r="K8" i="26"/>
  <c r="K9" i="26"/>
  <c r="L67" i="12"/>
  <c r="J16" i="12"/>
  <c r="L24" i="12"/>
  <c r="L34" i="12"/>
  <c r="L18" i="12"/>
  <c r="K17" i="12"/>
  <c r="L17" i="12"/>
  <c r="L16" i="12"/>
  <c r="L20" i="12"/>
  <c r="L15" i="12"/>
  <c r="L14" i="12"/>
  <c r="L8" i="26"/>
  <c r="L13" i="12"/>
  <c r="L28" i="20"/>
  <c r="L29" i="20"/>
  <c r="L12" i="12"/>
  <c r="L8" i="12"/>
  <c r="L9" i="26"/>
  <c r="C11" i="28"/>
  <c r="L10" i="12"/>
  <c r="L9" i="27"/>
  <c r="L10" i="27"/>
  <c r="L21" i="12"/>
  <c r="M21" i="12"/>
  <c r="L22" i="12"/>
  <c r="M22" i="12"/>
  <c r="L62" i="12"/>
  <c r="L100" i="12"/>
  <c r="K13" i="12"/>
  <c r="K28" i="20"/>
  <c r="K29" i="20"/>
  <c r="K18" i="12"/>
  <c r="K8" i="12"/>
  <c r="L105" i="12"/>
  <c r="L115" i="12"/>
  <c r="L113" i="12"/>
  <c r="L111" i="12"/>
  <c r="L102" i="12"/>
  <c r="M102" i="12"/>
  <c r="N102" i="12"/>
  <c r="O102" i="12"/>
  <c r="P102" i="12"/>
  <c r="L107" i="12"/>
  <c r="M107" i="12"/>
  <c r="N22" i="12"/>
  <c r="N21" i="12"/>
  <c r="L25" i="12"/>
  <c r="M25" i="12"/>
  <c r="L9" i="12"/>
  <c r="L19" i="12"/>
  <c r="L35" i="12"/>
  <c r="M35" i="12"/>
  <c r="L65" i="12"/>
  <c r="L64" i="12"/>
  <c r="L66" i="12"/>
  <c r="L93" i="12"/>
  <c r="K80" i="12"/>
  <c r="K67" i="12"/>
  <c r="K22" i="12"/>
  <c r="K20" i="12"/>
  <c r="K21" i="12"/>
  <c r="K34" i="12"/>
  <c r="K24" i="12"/>
  <c r="K10" i="12"/>
  <c r="L108" i="12"/>
  <c r="L104" i="12"/>
  <c r="L103" i="12"/>
  <c r="L118" i="12"/>
  <c r="K115" i="12"/>
  <c r="K113" i="12"/>
  <c r="K111" i="12"/>
  <c r="N107" i="12"/>
  <c r="K102" i="12"/>
  <c r="K107" i="12"/>
  <c r="N25" i="12"/>
  <c r="N35" i="12"/>
  <c r="O21" i="12"/>
  <c r="O22" i="12"/>
  <c r="L94" i="12"/>
  <c r="L96" i="12"/>
  <c r="L97" i="12"/>
  <c r="L98" i="12"/>
  <c r="K35" i="12"/>
  <c r="K25" i="12"/>
  <c r="K19" i="12"/>
  <c r="K9" i="12"/>
  <c r="K62" i="12"/>
  <c r="K100" i="12"/>
  <c r="E11" i="29"/>
  <c r="K108" i="12"/>
  <c r="O107" i="12"/>
  <c r="O25" i="12"/>
  <c r="O35" i="12"/>
  <c r="P22" i="12"/>
  <c r="P21" i="12"/>
  <c r="K93" i="12"/>
  <c r="K97" i="12"/>
  <c r="K98" i="12"/>
  <c r="K64" i="12"/>
  <c r="K65" i="12"/>
  <c r="D11" i="29"/>
  <c r="C11" i="29"/>
  <c r="B11" i="29"/>
  <c r="A11" i="29"/>
  <c r="C17" i="27" a="1"/>
  <c r="J17" i="27"/>
  <c r="G16" i="27"/>
  <c r="F16" i="27"/>
  <c r="E16" i="27"/>
  <c r="D16" i="27"/>
  <c r="C16" i="27"/>
  <c r="H12" i="27"/>
  <c r="H14" i="27"/>
  <c r="C9" i="27" a="1"/>
  <c r="H9" i="27"/>
  <c r="D8" i="27"/>
  <c r="E8" i="27"/>
  <c r="F8" i="27"/>
  <c r="G8" i="27"/>
  <c r="H8" i="27"/>
  <c r="I8" i="27"/>
  <c r="J8" i="27"/>
  <c r="C29" i="20" a="1"/>
  <c r="J29" i="20"/>
  <c r="C28" i="20" a="1"/>
  <c r="G28" i="20"/>
  <c r="C27" i="20" a="1"/>
  <c r="D27" i="20"/>
  <c r="D26" i="20"/>
  <c r="E26" i="20"/>
  <c r="F26" i="20"/>
  <c r="G26" i="20"/>
  <c r="H26" i="20"/>
  <c r="I26" i="20"/>
  <c r="J26" i="20"/>
  <c r="D8" i="20"/>
  <c r="E8" i="20"/>
  <c r="F8" i="20"/>
  <c r="G8" i="20"/>
  <c r="H8" i="20"/>
  <c r="I8" i="20"/>
  <c r="J8" i="20"/>
  <c r="D7" i="20"/>
  <c r="J63" i="25"/>
  <c r="I63" i="25"/>
  <c r="H63" i="25"/>
  <c r="G63" i="25"/>
  <c r="F63" i="25"/>
  <c r="E63" i="25"/>
  <c r="D63" i="25"/>
  <c r="C63" i="25"/>
  <c r="I55" i="25"/>
  <c r="I51" i="25"/>
  <c r="J51" i="25"/>
  <c r="H51" i="25"/>
  <c r="G51" i="25"/>
  <c r="F51" i="25"/>
  <c r="E51" i="25"/>
  <c r="D51" i="25"/>
  <c r="C51" i="25"/>
  <c r="J45" i="25"/>
  <c r="I45" i="25"/>
  <c r="H45" i="25"/>
  <c r="G45" i="25"/>
  <c r="F45" i="25"/>
  <c r="E45" i="25"/>
  <c r="D45" i="25"/>
  <c r="C45" i="25"/>
  <c r="J30" i="25"/>
  <c r="I30" i="25"/>
  <c r="H30" i="25"/>
  <c r="G30" i="25"/>
  <c r="F30" i="25"/>
  <c r="F8" i="25"/>
  <c r="E30" i="25"/>
  <c r="E8" i="25"/>
  <c r="D30" i="25"/>
  <c r="C30" i="25"/>
  <c r="J10" i="25"/>
  <c r="I10" i="25"/>
  <c r="H10" i="25"/>
  <c r="G10" i="25"/>
  <c r="F10" i="25"/>
  <c r="E10" i="25"/>
  <c r="D10" i="25"/>
  <c r="D8" i="25"/>
  <c r="C10" i="25"/>
  <c r="C8" i="25"/>
  <c r="J8" i="25"/>
  <c r="I8" i="25"/>
  <c r="H8" i="25"/>
  <c r="G8" i="25"/>
  <c r="D7" i="25"/>
  <c r="E7" i="25"/>
  <c r="F7" i="25"/>
  <c r="G7" i="25"/>
  <c r="H7" i="25"/>
  <c r="I7" i="25"/>
  <c r="J7" i="25"/>
  <c r="C110" i="12" a="1"/>
  <c r="I110" i="12"/>
  <c r="C106" i="12" a="1"/>
  <c r="G106" i="12"/>
  <c r="C101" i="12" a="1"/>
  <c r="C101" i="12"/>
  <c r="J89" i="12"/>
  <c r="J80" i="12"/>
  <c r="I89" i="12"/>
  <c r="I80" i="12"/>
  <c r="H89" i="12"/>
  <c r="H80" i="12"/>
  <c r="G89" i="12"/>
  <c r="G80" i="12"/>
  <c r="F89" i="12"/>
  <c r="F80" i="12"/>
  <c r="E80" i="12"/>
  <c r="D80" i="12"/>
  <c r="C80" i="12"/>
  <c r="J68" i="12"/>
  <c r="I68" i="12"/>
  <c r="H68" i="12"/>
  <c r="G68" i="12"/>
  <c r="F68" i="12"/>
  <c r="E68" i="12"/>
  <c r="D68" i="12"/>
  <c r="C68" i="12"/>
  <c r="G48" i="12"/>
  <c r="G63" i="12"/>
  <c r="F48" i="12"/>
  <c r="F63" i="12"/>
  <c r="E48" i="12"/>
  <c r="E63" i="12"/>
  <c r="D48" i="12"/>
  <c r="D63" i="12"/>
  <c r="C48" i="12"/>
  <c r="C63" i="12"/>
  <c r="J45" i="12"/>
  <c r="J43" i="12"/>
  <c r="I45" i="12"/>
  <c r="I43" i="12"/>
  <c r="H45" i="12"/>
  <c r="H43" i="12"/>
  <c r="G45" i="12"/>
  <c r="F45" i="12"/>
  <c r="E45" i="12"/>
  <c r="D45" i="12"/>
  <c r="C45" i="12"/>
  <c r="J34" i="12"/>
  <c r="I34" i="12"/>
  <c r="H34" i="12"/>
  <c r="G34" i="12"/>
  <c r="F34" i="12"/>
  <c r="E34" i="12"/>
  <c r="D34" i="12"/>
  <c r="C34" i="12"/>
  <c r="J24" i="12"/>
  <c r="I24" i="12"/>
  <c r="H24" i="12"/>
  <c r="G24" i="12"/>
  <c r="F24" i="12"/>
  <c r="E24" i="12"/>
  <c r="D24" i="12"/>
  <c r="C24" i="12"/>
  <c r="J22" i="12"/>
  <c r="I22" i="12"/>
  <c r="H22" i="12"/>
  <c r="G22" i="12"/>
  <c r="F22" i="12"/>
  <c r="E22" i="12"/>
  <c r="J21" i="12"/>
  <c r="I21" i="12"/>
  <c r="H21" i="12"/>
  <c r="G21" i="12"/>
  <c r="F21" i="12"/>
  <c r="E21" i="12"/>
  <c r="J20" i="12"/>
  <c r="I20" i="12"/>
  <c r="H20" i="12"/>
  <c r="G20" i="12"/>
  <c r="F20" i="12"/>
  <c r="E20" i="12"/>
  <c r="J10" i="12"/>
  <c r="J9" i="12"/>
  <c r="I10" i="12"/>
  <c r="H10" i="12"/>
  <c r="H9" i="12"/>
  <c r="G10" i="12"/>
  <c r="G9" i="12"/>
  <c r="F10" i="12"/>
  <c r="F9" i="12"/>
  <c r="E10" i="12"/>
  <c r="E9" i="12"/>
  <c r="D10" i="12"/>
  <c r="C10" i="12"/>
  <c r="D7" i="12"/>
  <c r="E7" i="12"/>
  <c r="F7" i="12"/>
  <c r="G7" i="12"/>
  <c r="H7" i="12"/>
  <c r="I7" i="12"/>
  <c r="J7" i="12"/>
  <c r="P107" i="12"/>
  <c r="P25" i="12"/>
  <c r="P35" i="12"/>
  <c r="G35" i="12"/>
  <c r="H16" i="27"/>
  <c r="I12" i="27"/>
  <c r="D12" i="20"/>
  <c r="D13" i="20"/>
  <c r="D14" i="20"/>
  <c r="D15" i="20"/>
  <c r="K8" i="20"/>
  <c r="K16" i="20"/>
  <c r="C11" i="20"/>
  <c r="E7" i="20"/>
  <c r="C35" i="12"/>
  <c r="D35" i="12"/>
  <c r="K94" i="12"/>
  <c r="K96" i="12"/>
  <c r="M96" i="12"/>
  <c r="N96" i="12"/>
  <c r="O96" i="12"/>
  <c r="P96" i="12"/>
  <c r="H35" i="12"/>
  <c r="I35" i="12"/>
  <c r="J35" i="12"/>
  <c r="E35" i="12"/>
  <c r="F35" i="12"/>
  <c r="H25" i="12"/>
  <c r="I25" i="12"/>
  <c r="G25" i="12"/>
  <c r="F25" i="12"/>
  <c r="D25" i="12"/>
  <c r="E25" i="12"/>
  <c r="J25" i="12"/>
  <c r="C25" i="12"/>
  <c r="C112" i="12" a="1"/>
  <c r="C112" i="12"/>
  <c r="C43" i="12"/>
  <c r="C23" i="12"/>
  <c r="C8" i="26"/>
  <c r="K66" i="12"/>
  <c r="J106" i="12"/>
  <c r="F27" i="20"/>
  <c r="E27" i="20"/>
  <c r="G27" i="20"/>
  <c r="H27" i="20"/>
  <c r="C67" i="12"/>
  <c r="E67" i="12"/>
  <c r="H67" i="12"/>
  <c r="C28" i="20"/>
  <c r="H28" i="20"/>
  <c r="C15" i="12" a="1"/>
  <c r="I15" i="12"/>
  <c r="I28" i="20"/>
  <c r="H23" i="12"/>
  <c r="H8" i="26"/>
  <c r="C106" i="12"/>
  <c r="J28" i="20"/>
  <c r="H106" i="12"/>
  <c r="I106" i="12"/>
  <c r="C17" i="27"/>
  <c r="C19" i="27"/>
  <c r="D67" i="12"/>
  <c r="I67" i="12"/>
  <c r="J67" i="12"/>
  <c r="D43" i="12"/>
  <c r="D23" i="12"/>
  <c r="D8" i="26"/>
  <c r="G43" i="12"/>
  <c r="G23" i="12"/>
  <c r="G8" i="26"/>
  <c r="F43" i="12"/>
  <c r="F23" i="12"/>
  <c r="F8" i="26"/>
  <c r="I23" i="12"/>
  <c r="I8" i="26"/>
  <c r="J23" i="12"/>
  <c r="J8" i="26"/>
  <c r="J19" i="27"/>
  <c r="G67" i="12"/>
  <c r="F67" i="12"/>
  <c r="J9" i="27"/>
  <c r="D17" i="27"/>
  <c r="E43" i="12"/>
  <c r="E23" i="12"/>
  <c r="E8" i="26"/>
  <c r="E101" i="12"/>
  <c r="I9" i="12"/>
  <c r="F101" i="12"/>
  <c r="F102" i="12"/>
  <c r="I27" i="20"/>
  <c r="C29" i="20"/>
  <c r="E17" i="27"/>
  <c r="I9" i="27"/>
  <c r="C107" i="12" a="1"/>
  <c r="C107" i="12"/>
  <c r="G101" i="12"/>
  <c r="G102" i="12"/>
  <c r="J27" i="20"/>
  <c r="D29" i="20"/>
  <c r="F17" i="27"/>
  <c r="G9" i="27"/>
  <c r="H101" i="12"/>
  <c r="H102" i="12"/>
  <c r="C114" i="12" a="1"/>
  <c r="C114" i="12"/>
  <c r="E29" i="20"/>
  <c r="G17" i="27"/>
  <c r="H17" i="27"/>
  <c r="D28" i="20"/>
  <c r="G29" i="20"/>
  <c r="C9" i="27"/>
  <c r="I17" i="27"/>
  <c r="D101" i="12"/>
  <c r="I101" i="12"/>
  <c r="I102" i="12"/>
  <c r="F29" i="20"/>
  <c r="D106" i="12"/>
  <c r="E106" i="12"/>
  <c r="E28" i="20"/>
  <c r="H29" i="20"/>
  <c r="D9" i="27"/>
  <c r="F106" i="12"/>
  <c r="C116" i="12" a="1"/>
  <c r="C116" i="12"/>
  <c r="C27" i="20"/>
  <c r="C18" i="20"/>
  <c r="F28" i="20"/>
  <c r="I29" i="20"/>
  <c r="E9" i="27"/>
  <c r="J101" i="12"/>
  <c r="J102" i="12"/>
  <c r="F9" i="27"/>
  <c r="D110" i="12"/>
  <c r="J110" i="12"/>
  <c r="N110" i="12"/>
  <c r="E110" i="12"/>
  <c r="F110" i="12"/>
  <c r="G110" i="12"/>
  <c r="H110" i="12"/>
  <c r="C110" i="12"/>
  <c r="J9" i="26"/>
  <c r="G9" i="26"/>
  <c r="I9" i="26"/>
  <c r="D9" i="26"/>
  <c r="F9" i="26"/>
  <c r="H9" i="26"/>
  <c r="E9" i="26"/>
  <c r="C9" i="26"/>
  <c r="O110" i="12"/>
  <c r="P110" i="12"/>
  <c r="M110" i="12"/>
  <c r="J12" i="27"/>
  <c r="K12" i="27"/>
  <c r="I16" i="27"/>
  <c r="I14" i="27"/>
  <c r="N29" i="20"/>
  <c r="O29" i="20"/>
  <c r="P29" i="20"/>
  <c r="M29" i="20"/>
  <c r="D17" i="20"/>
  <c r="D18" i="20"/>
  <c r="D11" i="20"/>
  <c r="E13" i="20"/>
  <c r="E15" i="20"/>
  <c r="E12" i="20"/>
  <c r="E14" i="20"/>
  <c r="L8" i="20"/>
  <c r="F7" i="20"/>
  <c r="H112" i="12"/>
  <c r="H108" i="12"/>
  <c r="E112" i="12"/>
  <c r="E108" i="12"/>
  <c r="I112" i="12"/>
  <c r="I108" i="12"/>
  <c r="J112" i="12"/>
  <c r="J108" i="12"/>
  <c r="E15" i="12"/>
  <c r="E19" i="12"/>
  <c r="F112" i="12"/>
  <c r="F108" i="12"/>
  <c r="D112" i="12"/>
  <c r="G112" i="12"/>
  <c r="G108" i="12"/>
  <c r="G15" i="12"/>
  <c r="G62" i="12"/>
  <c r="F15" i="12"/>
  <c r="F62" i="12"/>
  <c r="H15" i="12"/>
  <c r="H19" i="12"/>
  <c r="J15" i="12"/>
  <c r="J19" i="12"/>
  <c r="C15" i="12"/>
  <c r="C19" i="12"/>
  <c r="D15" i="12"/>
  <c r="D62" i="12"/>
  <c r="C18" i="27"/>
  <c r="H19" i="27"/>
  <c r="H18" i="27"/>
  <c r="G19" i="27"/>
  <c r="G18" i="27"/>
  <c r="I19" i="27"/>
  <c r="I18" i="27"/>
  <c r="F19" i="27"/>
  <c r="F18" i="27"/>
  <c r="C108" i="12"/>
  <c r="E19" i="27"/>
  <c r="E18" i="27"/>
  <c r="D19" i="27"/>
  <c r="D18" i="27"/>
  <c r="I19" i="12"/>
  <c r="I62" i="12"/>
  <c r="J105" i="12"/>
  <c r="K105" i="12"/>
  <c r="K104" i="12"/>
  <c r="I105" i="12"/>
  <c r="E105" i="12"/>
  <c r="G105" i="12"/>
  <c r="H105" i="12"/>
  <c r="F105" i="12"/>
  <c r="D105" i="12"/>
  <c r="K16" i="27"/>
  <c r="K18" i="27"/>
  <c r="K14" i="27"/>
  <c r="L12" i="27"/>
  <c r="J14" i="27"/>
  <c r="J16" i="27"/>
  <c r="J18" i="27"/>
  <c r="L16" i="20"/>
  <c r="E17" i="20"/>
  <c r="E18" i="20"/>
  <c r="F13" i="20"/>
  <c r="F12" i="20"/>
  <c r="F15" i="20"/>
  <c r="F14" i="20"/>
  <c r="E11" i="20"/>
  <c r="G7" i="20"/>
  <c r="E62" i="12"/>
  <c r="E64" i="12"/>
  <c r="D108" i="12"/>
  <c r="H62" i="12"/>
  <c r="H100" i="12"/>
  <c r="F19" i="12"/>
  <c r="G19" i="12"/>
  <c r="J62" i="12"/>
  <c r="J93" i="12"/>
  <c r="D19" i="12"/>
  <c r="C62" i="12"/>
  <c r="C100" i="12"/>
  <c r="G93" i="12"/>
  <c r="G100" i="12"/>
  <c r="G64" i="12"/>
  <c r="G94" i="12"/>
  <c r="G96" i="12"/>
  <c r="F93" i="12"/>
  <c r="F100" i="12"/>
  <c r="F64" i="12"/>
  <c r="D93" i="12"/>
  <c r="D100" i="12"/>
  <c r="D64" i="12"/>
  <c r="I93" i="12"/>
  <c r="I64" i="12"/>
  <c r="I100" i="12"/>
  <c r="E100" i="12"/>
  <c r="K103" i="12"/>
  <c r="K118" i="12"/>
  <c r="E93" i="12"/>
  <c r="L16" i="27"/>
  <c r="M16" i="27"/>
  <c r="N16" i="27"/>
  <c r="O16" i="27"/>
  <c r="P16" i="27"/>
  <c r="L18" i="27"/>
  <c r="M18" i="27"/>
  <c r="L14" i="27"/>
  <c r="M14" i="27"/>
  <c r="M12" i="27"/>
  <c r="M15" i="27"/>
  <c r="N16" i="20"/>
  <c r="O16" i="20"/>
  <c r="P16" i="20"/>
  <c r="M16" i="20"/>
  <c r="F17" i="20"/>
  <c r="F18" i="20"/>
  <c r="G13" i="20"/>
  <c r="G14" i="20"/>
  <c r="G12" i="20"/>
  <c r="G15" i="20"/>
  <c r="F11" i="20"/>
  <c r="H7" i="20"/>
  <c r="H93" i="12"/>
  <c r="H64" i="12"/>
  <c r="J100" i="12"/>
  <c r="J64" i="12"/>
  <c r="C93" i="12"/>
  <c r="C65" i="12" a="1"/>
  <c r="C65" i="12"/>
  <c r="C64" i="12"/>
  <c r="F94" i="12"/>
  <c r="F96" i="12"/>
  <c r="D97" i="12"/>
  <c r="D98" i="12"/>
  <c r="F97" i="12"/>
  <c r="F98" i="12"/>
  <c r="E94" i="12"/>
  <c r="E96" i="12"/>
  <c r="E97" i="12"/>
  <c r="E98" i="12"/>
  <c r="D94" i="12"/>
  <c r="D96" i="12"/>
  <c r="J97" i="12"/>
  <c r="J98" i="12"/>
  <c r="I97" i="12"/>
  <c r="I98" i="12"/>
  <c r="G97" i="12"/>
  <c r="G98" i="12"/>
  <c r="M17" i="27"/>
  <c r="N18" i="27"/>
  <c r="O18" i="27"/>
  <c r="P18" i="27"/>
  <c r="N12" i="27"/>
  <c r="M10" i="27"/>
  <c r="M9" i="27"/>
  <c r="M12" i="12"/>
  <c r="M17" i="12"/>
  <c r="G17" i="20"/>
  <c r="G18" i="20"/>
  <c r="H15" i="20"/>
  <c r="H14" i="20"/>
  <c r="H13" i="20"/>
  <c r="H12" i="20"/>
  <c r="G11" i="20"/>
  <c r="I7" i="20"/>
  <c r="C97" i="12"/>
  <c r="C98" i="12"/>
  <c r="H97" i="12"/>
  <c r="H98" i="12"/>
  <c r="C66" i="12" a="1"/>
  <c r="C66" i="12"/>
  <c r="C94" i="12"/>
  <c r="C96" i="12"/>
  <c r="M19" i="27"/>
  <c r="M42" i="12"/>
  <c r="N15" i="27"/>
  <c r="N17" i="27"/>
  <c r="O12" i="27"/>
  <c r="N10" i="27"/>
  <c r="N9" i="27"/>
  <c r="N12" i="12"/>
  <c r="N17" i="12"/>
  <c r="H17" i="20"/>
  <c r="H18" i="20"/>
  <c r="I14" i="20"/>
  <c r="I13" i="20"/>
  <c r="I12" i="20"/>
  <c r="I15" i="20"/>
  <c r="H11" i="20"/>
  <c r="J7" i="20"/>
  <c r="C119" i="12" a="1"/>
  <c r="C119" i="12"/>
  <c r="K119" i="12"/>
  <c r="L119" i="12"/>
  <c r="N19" i="27"/>
  <c r="N42" i="12"/>
  <c r="O15" i="27"/>
  <c r="O17" i="27"/>
  <c r="P12" i="27"/>
  <c r="O10" i="27"/>
  <c r="O9" i="27"/>
  <c r="O12" i="12"/>
  <c r="O17" i="12"/>
  <c r="I17" i="20"/>
  <c r="I18" i="20"/>
  <c r="J14" i="20"/>
  <c r="J13" i="20"/>
  <c r="J12" i="20"/>
  <c r="J15" i="20"/>
  <c r="I11" i="20"/>
  <c r="C104" i="12" a="1"/>
  <c r="O19" i="27"/>
  <c r="O42" i="12"/>
  <c r="P10" i="27"/>
  <c r="P9" i="27"/>
  <c r="P12" i="12"/>
  <c r="P17" i="12"/>
  <c r="P15" i="27"/>
  <c r="P17" i="27"/>
  <c r="J17" i="20"/>
  <c r="J18" i="20"/>
  <c r="N18" i="20"/>
  <c r="J11" i="20"/>
  <c r="C16" i="20" a="1"/>
  <c r="C104" i="12"/>
  <c r="C103" i="12" a="1"/>
  <c r="I103" i="12"/>
  <c r="P19" i="27"/>
  <c r="P42" i="12"/>
  <c r="G103" i="12"/>
  <c r="J103" i="12"/>
  <c r="D103" i="12"/>
  <c r="E103" i="12"/>
  <c r="F103" i="12"/>
  <c r="C16" i="20"/>
  <c r="J16" i="20"/>
  <c r="D16" i="20"/>
  <c r="E16" i="20"/>
  <c r="G16" i="20"/>
  <c r="F16" i="20"/>
  <c r="H16" i="20"/>
  <c r="I16" i="20"/>
  <c r="O18" i="20"/>
  <c r="P18" i="20"/>
  <c r="M18" i="20"/>
  <c r="C103" i="12"/>
  <c r="H103" i="12"/>
  <c r="C118" i="12" a="1"/>
  <c r="D118" i="12"/>
  <c r="H118" i="12"/>
  <c r="C118" i="12"/>
  <c r="E118" i="12"/>
  <c r="J118" i="12"/>
  <c r="G118" i="12"/>
  <c r="F118" i="12"/>
  <c r="I118" i="12"/>
  <c r="M105" i="12"/>
  <c r="N105" i="12"/>
  <c r="O105" i="12"/>
  <c r="P105" i="12"/>
  <c r="F10" i="28"/>
  <c r="F9" i="28"/>
  <c r="F8" i="28"/>
  <c r="F7" i="28"/>
  <c r="F12" i="28"/>
  <c r="F13" i="28"/>
  <c r="F14" i="28"/>
  <c r="F15" i="28"/>
  <c r="P11" i="28"/>
  <c r="M9" i="20"/>
  <c r="M8" i="20"/>
  <c r="N9" i="20"/>
  <c r="N8" i="20"/>
  <c r="O9" i="20"/>
  <c r="O8" i="20"/>
  <c r="P9" i="20"/>
  <c r="P8" i="20"/>
  <c r="N15" i="20"/>
  <c r="O14" i="20"/>
  <c r="P13" i="20"/>
  <c r="O15" i="20"/>
  <c r="P14" i="20"/>
  <c r="M15" i="20"/>
  <c r="M11" i="20"/>
  <c r="M17" i="20"/>
  <c r="M27" i="20"/>
  <c r="M28" i="20"/>
  <c r="M13" i="12"/>
  <c r="M18" i="12"/>
  <c r="N14" i="20"/>
  <c r="N11" i="20"/>
  <c r="N17" i="20"/>
  <c r="N27" i="20"/>
  <c r="N28" i="20"/>
  <c r="N13" i="12"/>
  <c r="N18" i="12"/>
  <c r="O13" i="20"/>
  <c r="O11" i="20"/>
  <c r="M11" i="12"/>
  <c r="M10" i="12"/>
  <c r="M101" i="12"/>
  <c r="M111" i="12"/>
  <c r="M113" i="12"/>
  <c r="M115" i="12"/>
  <c r="M106" i="12"/>
  <c r="M34" i="12"/>
  <c r="O17" i="20"/>
  <c r="O27" i="20"/>
  <c r="O28" i="20"/>
  <c r="O13" i="12"/>
  <c r="O18" i="12"/>
  <c r="P12" i="20"/>
  <c r="P15" i="20"/>
  <c r="P11" i="20"/>
  <c r="N11" i="12"/>
  <c r="N10" i="12"/>
  <c r="N115" i="12"/>
  <c r="N113" i="12"/>
  <c r="N111" i="12"/>
  <c r="N101" i="12"/>
  <c r="N106" i="12"/>
  <c r="N34" i="12"/>
  <c r="N16" i="12"/>
  <c r="N15" i="12"/>
  <c r="N19" i="12"/>
  <c r="M24" i="12"/>
  <c r="M23" i="12"/>
  <c r="P17" i="20"/>
  <c r="P27" i="20"/>
  <c r="P28" i="20"/>
  <c r="P13" i="12"/>
  <c r="P18" i="12"/>
  <c r="O11" i="12"/>
  <c r="O10" i="12"/>
  <c r="O101" i="12"/>
  <c r="O115" i="12"/>
  <c r="O113" i="12"/>
  <c r="O111" i="12"/>
  <c r="O106" i="12"/>
  <c r="O16" i="12"/>
  <c r="O15" i="12"/>
  <c r="O19" i="12"/>
  <c r="O34" i="12"/>
  <c r="N24" i="12"/>
  <c r="N23" i="12"/>
  <c r="O24" i="12"/>
  <c r="O23" i="12"/>
  <c r="O62" i="12"/>
  <c r="O64" i="12"/>
  <c r="P11" i="12"/>
  <c r="P10" i="12"/>
  <c r="P101" i="12"/>
  <c r="P113" i="12"/>
  <c r="P115" i="12"/>
  <c r="P111" i="12"/>
  <c r="P106" i="12"/>
  <c r="O95" i="12"/>
  <c r="N62" i="12"/>
  <c r="N95" i="12"/>
  <c r="N109" i="12"/>
  <c r="N108" i="12"/>
  <c r="N104" i="12"/>
  <c r="N100" i="12"/>
  <c r="N103" i="12"/>
  <c r="N64" i="12"/>
  <c r="N65" i="12"/>
  <c r="P16" i="12"/>
  <c r="P15" i="12"/>
  <c r="P19" i="12"/>
  <c r="P34" i="12"/>
  <c r="P24" i="12"/>
  <c r="P23" i="12"/>
  <c r="P62" i="12"/>
  <c r="P95" i="12"/>
  <c r="N118" i="12"/>
  <c r="N128" i="12"/>
  <c r="O65" i="12"/>
  <c r="O109" i="12"/>
  <c r="O108" i="12"/>
  <c r="O104" i="12"/>
  <c r="O100" i="12"/>
  <c r="O103" i="12"/>
  <c r="O118" i="12"/>
  <c r="O128" i="12"/>
  <c r="P64" i="12"/>
  <c r="P65" i="12"/>
  <c r="P109" i="12"/>
  <c r="P108" i="12"/>
  <c r="P104" i="12"/>
  <c r="P100" i="12"/>
  <c r="P103" i="12"/>
  <c r="P118" i="12"/>
  <c r="P128" i="12"/>
  <c r="M16" i="12"/>
  <c r="M15" i="12"/>
  <c r="M19" i="12"/>
  <c r="M62" i="12"/>
  <c r="M64" i="12"/>
  <c r="M95" i="12"/>
  <c r="M65" i="12"/>
  <c r="M109" i="12"/>
  <c r="M108" i="12"/>
  <c r="M104" i="12"/>
  <c r="M100" i="12"/>
  <c r="M103" i="12"/>
  <c r="M119" i="12"/>
  <c r="N119" i="12"/>
  <c r="O119" i="12"/>
  <c r="P119" i="12"/>
  <c r="Q100" i="12"/>
  <c r="Q118" i="12"/>
  <c r="Q128" i="12"/>
  <c r="M118" i="12"/>
  <c r="M128" i="12"/>
  <c r="C9" i="28"/>
  <c r="C13" i="28"/>
  <c r="C14" i="28"/>
  <c r="F6" i="28"/>
  <c r="C16"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Lucas</author>
  </authors>
  <commentList>
    <comment ref="K11" authorId="0" shapeId="0" xr:uid="{032FF09D-112D-4B1D-ACD2-04A7CEC51D31}">
      <text>
        <r>
          <rPr>
            <b/>
            <sz val="9"/>
            <color indexed="81"/>
            <rFont val="Segoe UI"/>
            <family val="2"/>
          </rPr>
          <t>Lucas:</t>
        </r>
        <r>
          <rPr>
            <sz val="9"/>
            <color indexed="81"/>
            <rFont val="Segoe UI"/>
            <family val="2"/>
          </rPr>
          <t xml:space="preserve">
Não considero o valor que houve com receita pela Bradescard, pelo fato da parceria encerrada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<sst xmlns="http://schemas.openxmlformats.org/spreadsheetml/2006/main" count="2213" uniqueCount="966">
  <si>
    <t>Receita Líquida</t>
  </si>
  <si>
    <t>Lucro Líquido</t>
  </si>
  <si>
    <t>Ativo Circulante</t>
  </si>
  <si>
    <t>Aplicações Financeiras</t>
  </si>
  <si>
    <t>Caixa Operacional</t>
  </si>
  <si>
    <t>Contas a Receber</t>
  </si>
  <si>
    <t>Estoques</t>
  </si>
  <si>
    <t>Tributos a Recuperar</t>
  </si>
  <si>
    <t>Ativo Total</t>
  </si>
  <si>
    <t>Passivo Total</t>
  </si>
  <si>
    <t>Ativo Realizável a Longo Prazo</t>
  </si>
  <si>
    <t>Tributos Diferidos</t>
  </si>
  <si>
    <t>Outros Ativos Não Circulantes</t>
  </si>
  <si>
    <t>Imobilizado</t>
  </si>
  <si>
    <t>Intangível</t>
  </si>
  <si>
    <t>Passivo Circulante</t>
  </si>
  <si>
    <t>Obrigações Sociais e Trabalhistas</t>
  </si>
  <si>
    <t>Fornecedores</t>
  </si>
  <si>
    <t>Obrigações Fiscais</t>
  </si>
  <si>
    <t>Empréstimos e Financiamentos</t>
  </si>
  <si>
    <t>Outras Obrigações</t>
  </si>
  <si>
    <t>Passivo Não Circulante</t>
  </si>
  <si>
    <t>Impostos a Recolher</t>
  </si>
  <si>
    <t>Patrimônio Líquido</t>
  </si>
  <si>
    <t>Capital Social Realizado</t>
  </si>
  <si>
    <t>Reservas de Capital</t>
  </si>
  <si>
    <t>Reservas de Lucros</t>
  </si>
  <si>
    <t>Outros Resultados Abrangentes</t>
  </si>
  <si>
    <t>Custos das Vendas e Serviços</t>
  </si>
  <si>
    <t>Lucro Bruto</t>
  </si>
  <si>
    <t>Despesas com Vendas</t>
  </si>
  <si>
    <t>Despesas Gerais e Administrativas</t>
  </si>
  <si>
    <t>EBIT</t>
  </si>
  <si>
    <t>EBIT Recorrente</t>
  </si>
  <si>
    <t>Resultado Financeiro</t>
  </si>
  <si>
    <t>Receitas Financeiras</t>
  </si>
  <si>
    <t>Despesas Financeiras</t>
  </si>
  <si>
    <t>Eventos Não Recorrentes</t>
  </si>
  <si>
    <t>Pessoal</t>
  </si>
  <si>
    <t>Ocupação</t>
  </si>
  <si>
    <t>Depreciação e Amortização</t>
  </si>
  <si>
    <t>Depreciação - Direito de Uso</t>
  </si>
  <si>
    <t>Outros</t>
  </si>
  <si>
    <t>Recuperação de Créditos Fiscais</t>
  </si>
  <si>
    <t>Juros Sobre Arrendamentos</t>
  </si>
  <si>
    <t>IRPJ + CSLL</t>
  </si>
  <si>
    <t>WACC</t>
  </si>
  <si>
    <t>Liquidez Geral</t>
  </si>
  <si>
    <t>Liquidez Corrente</t>
  </si>
  <si>
    <t>Liquidez Seca</t>
  </si>
  <si>
    <t>Liquidez Imediata</t>
  </si>
  <si>
    <t>Ciclo de Caixa</t>
  </si>
  <si>
    <t>Dividend Yield (12 meses)</t>
  </si>
  <si>
    <t>Payout</t>
  </si>
  <si>
    <t>Proventos por Ação</t>
  </si>
  <si>
    <t>Retorno Sobre o Equity (ROE)</t>
  </si>
  <si>
    <t>Retorno Sobre o Ativo (ROA)</t>
  </si>
  <si>
    <t>Retorno Sobre o Capital Investido (ROIC)</t>
  </si>
  <si>
    <t>Dívida Bruta/Ativo</t>
  </si>
  <si>
    <t>Dívida Bruta/Patrimônio Líquido</t>
  </si>
  <si>
    <t>Dívida Bruta/(Dívida Bruta + Patrimônio Líquido)</t>
  </si>
  <si>
    <t>NOPAT</t>
  </si>
  <si>
    <t>Taxa de Reinvestimento</t>
  </si>
  <si>
    <t>Fluxo de Caixa Livre para Firma (FCFF)</t>
  </si>
  <si>
    <t>Ativo Não Circulante</t>
  </si>
  <si>
    <t>Custo da Dívida</t>
  </si>
  <si>
    <t>CAPEX</t>
  </si>
  <si>
    <t>Novas Lojas</t>
  </si>
  <si>
    <t>Remodelação de Instalações</t>
  </si>
  <si>
    <t>Centro de Distribuição</t>
  </si>
  <si>
    <t>Capital de Giro</t>
  </si>
  <si>
    <t>Variações nos Ativos e Passivos</t>
  </si>
  <si>
    <t>Contas a Receber de Clientes</t>
  </si>
  <si>
    <t>Recompra de Ações</t>
  </si>
  <si>
    <t>Depósitos Judiciais</t>
  </si>
  <si>
    <t>Dívida Bruta</t>
  </si>
  <si>
    <t>Reinvestimento</t>
  </si>
  <si>
    <t>Partes Relacionadas</t>
  </si>
  <si>
    <t>Outros Ativos Circulantes</t>
  </si>
  <si>
    <t>Outros Créditos</t>
  </si>
  <si>
    <t>Instrumentos Financeiros Derivativos</t>
  </si>
  <si>
    <t>Depósito Judicial</t>
  </si>
  <si>
    <t>Imobilizado em Operação</t>
  </si>
  <si>
    <t>Direito de Uso em Arrendamento</t>
  </si>
  <si>
    <t>Imobilizado em Andamento</t>
  </si>
  <si>
    <t>Estrangeiros</t>
  </si>
  <si>
    <t>Federais</t>
  </si>
  <si>
    <t>Estaduais</t>
  </si>
  <si>
    <t>Empréstimos</t>
  </si>
  <si>
    <t>Financiamento por Arrendamento</t>
  </si>
  <si>
    <t>Passivos com Partes Relacionadas</t>
  </si>
  <si>
    <t>Operações com Derivativos</t>
  </si>
  <si>
    <t>Outros Passivos</t>
  </si>
  <si>
    <t>Obrigações Trabalhistas</t>
  </si>
  <si>
    <t>Provisões</t>
  </si>
  <si>
    <t>Provisões Fiscais Previdenciárias Trabalhistas e Cíveis</t>
  </si>
  <si>
    <t>Provisões Fiscais</t>
  </si>
  <si>
    <t>Provisões Previdenciárias e Trabalhistas</t>
  </si>
  <si>
    <t>Provisões Cíveis</t>
  </si>
  <si>
    <t>Outras Provisões</t>
  </si>
  <si>
    <t>DF</t>
  </si>
  <si>
    <t>Ajuste para Reconciliar o Resultado Antes dos Impostos com o Fluxo de Caixa</t>
  </si>
  <si>
    <t>Constituição (Reversão) de Provisão para Perdas de Crédito Esperadas</t>
  </si>
  <si>
    <t>Ajuste a Valor Presente do Contas a Receber, Estoques e Fornecedores</t>
  </si>
  <si>
    <t>Despesas com Remuneração Baseado em Ações</t>
  </si>
  <si>
    <t>Constituição de Provisão para Perda nos Estoques</t>
  </si>
  <si>
    <t>Ganho/Reconhecimento de Processos Tributários, Incluindo Atualização Monetária</t>
  </si>
  <si>
    <t>Equivalência Patrimonial</t>
  </si>
  <si>
    <t>Constituição (Reversão) de Provisão para Redução ao Valor Recuperável do Imobilizado, Intangível e Direito de Uso</t>
  </si>
  <si>
    <t>Amortização do Direito de Uso</t>
  </si>
  <si>
    <t>Baixa de Arrendamento</t>
  </si>
  <si>
    <t>Juros Sobre Empréstimos</t>
  </si>
  <si>
    <t>Amortização de Custos de Transação de Empréstimos</t>
  </si>
  <si>
    <t>Constituição (Reversão) de Provisão para Riscos Tributários, Cíveis e Trabalhistas</t>
  </si>
  <si>
    <t>Atualização de Depósitos Judiciais</t>
  </si>
  <si>
    <t>Rendimento de Aplicação em Títulos e Valores Mobiliários</t>
  </si>
  <si>
    <t>Títulos e Valores Mobiliários</t>
  </si>
  <si>
    <t>Obrigações de Risco Sacado</t>
  </si>
  <si>
    <t>Provisões para Riscos Tributários, Cíveis e Trabalhistas</t>
  </si>
  <si>
    <t>Tributos a Pagar</t>
  </si>
  <si>
    <t>Fluxo de Caixa Originado das Atividades Operacionais</t>
  </si>
  <si>
    <t>Aquisição de Imobilizado</t>
  </si>
  <si>
    <t>Aquisição de Intangível</t>
  </si>
  <si>
    <t>Redução de Capital em Controlada</t>
  </si>
  <si>
    <t>Aumento de Capital em Controlada</t>
  </si>
  <si>
    <t>Recebimento por Vendas em Ativos Imobilizados</t>
  </si>
  <si>
    <t>Fluxo de Caixa Aplicado em Atividades de Investimento</t>
  </si>
  <si>
    <t>Novos Empréstimos e Emissão de Debêntures</t>
  </si>
  <si>
    <t>Custos de Transação de Empréstimos/Debêntures</t>
  </si>
  <si>
    <t>Pagamento do Principal dos Empréstimos</t>
  </si>
  <si>
    <t>Pagamento de Juros Sobre Empréstimos</t>
  </si>
  <si>
    <t>Pagamento do Principal e Juros de Arrendamentos</t>
  </si>
  <si>
    <t>Fluxo de Caixa Originado das Atividades de Financiamento</t>
  </si>
  <si>
    <t>Aumento Líquido de Caixa e Equivalentes de Caixa</t>
  </si>
  <si>
    <t>Caixa e Equivalentes de Caixa no Início do Período</t>
  </si>
  <si>
    <t>Caixa e Equivalentes de Caixa no Fim do Período</t>
  </si>
  <si>
    <t>Impostos de Renda e Contribuição Social Pagos</t>
  </si>
  <si>
    <t>Lucro (Prejuízo) Antes dos Impostos Sobre a Renda</t>
  </si>
  <si>
    <t>Variação Cambial Sobre Empréstimos</t>
  </si>
  <si>
    <t>Aumento de Capital</t>
  </si>
  <si>
    <t>Custos de Transação na Emissão de Ações</t>
  </si>
  <si>
    <t>Liquidação de Swap</t>
  </si>
  <si>
    <t>Juros Sobre o Capital Próprio e Dividendos Pagos</t>
  </si>
  <si>
    <t>(Ganho) ou Perda na Venda ou Baixa do Imobilizado e Intangível</t>
  </si>
  <si>
    <t>Minoritários</t>
  </si>
  <si>
    <t>Material/Serviços de Terceiros</t>
  </si>
  <si>
    <t>Publicidade e Promoção</t>
  </si>
  <si>
    <t>Perdas em Créditos Líquidas</t>
  </si>
  <si>
    <t>Reversão (Provisão) por Impairment</t>
  </si>
  <si>
    <t>Encerramento/Reforma de Lojas</t>
  </si>
  <si>
    <t>Teste de Recuperabilidade</t>
  </si>
  <si>
    <t>ICMS na Base de Cálculo PIS/COFINS</t>
  </si>
  <si>
    <t>Ação Judicial ZFM e Reintegra</t>
  </si>
  <si>
    <t>PIS/COFINS Importação Base de Cálculo</t>
  </si>
  <si>
    <t>Créditos Previdenciários</t>
  </si>
  <si>
    <t>Outros Créditos Fiscais</t>
  </si>
  <si>
    <t>Despesas Relacionadas aos Créditos Fiscais</t>
  </si>
  <si>
    <t>Reversão (Provisão) de Contingências Tributárias</t>
  </si>
  <si>
    <t>Consultorias Estratégicas</t>
  </si>
  <si>
    <t>Perdas de Créditos Líquidas</t>
  </si>
  <si>
    <t>Estruturação FIDC</t>
  </si>
  <si>
    <t>Juros Sobre Empréstimos - Partes Relacionadas</t>
  </si>
  <si>
    <t>Juros Sobre Empréstimos - Terceiros</t>
  </si>
  <si>
    <t>Juros Sobre Empréstimos - Bradescard</t>
  </si>
  <si>
    <t>Despesas Bancárias e IOF</t>
  </si>
  <si>
    <t>Juros Sobre Impostos e Contingências</t>
  </si>
  <si>
    <t>Juros Sobre Arrendamento</t>
  </si>
  <si>
    <t>Despesa Financeira de Fornecedores - AVP</t>
  </si>
  <si>
    <t>Resultados com Derivativos</t>
  </si>
  <si>
    <t>Variação Cambial</t>
  </si>
  <si>
    <t>Empréstimos com Partes Relacionadas</t>
  </si>
  <si>
    <t>Encargos com Antecipações de Recebíveis</t>
  </si>
  <si>
    <t>Juros Sobre Aplicação Financeira</t>
  </si>
  <si>
    <t>Juros e Atualização Monetária</t>
  </si>
  <si>
    <t>Atualização dos Créditos Tributários Extemporâneos de PIS/COFINS</t>
  </si>
  <si>
    <t>Atualização dos Créditos Tributários da Ação Judicial da Zona Franca de Manaus</t>
  </si>
  <si>
    <t>Tributação pelo PIS/COFINS</t>
  </si>
  <si>
    <t>Créditos Extemporâneos de PIS/COFINS - Importação</t>
  </si>
  <si>
    <t>Receita Financeira de Fornecedores</t>
  </si>
  <si>
    <t>Resultado com Títulos e Valores Mobiliários</t>
  </si>
  <si>
    <t>LAIR</t>
  </si>
  <si>
    <t>LAIR - Recorrente</t>
  </si>
  <si>
    <t>Retorno Sobre o Equity - Ex. Cash (ROE Noncash)</t>
  </si>
  <si>
    <t>Prazo Médio de Recebimento (PMR)</t>
  </si>
  <si>
    <t>Prazo Médio de Estoques (PME)</t>
  </si>
  <si>
    <t>Prazo Médio de Pagamento (PMP)</t>
  </si>
  <si>
    <t>Data de Abertura</t>
  </si>
  <si>
    <t>Localização</t>
  </si>
  <si>
    <t>Tamanho (m²)</t>
  </si>
  <si>
    <t>Cidade</t>
  </si>
  <si>
    <t>Estado</t>
  </si>
  <si>
    <t>Região</t>
  </si>
  <si>
    <t>SÃO PAULO</t>
  </si>
  <si>
    <t>SHOPPING IBIRAPUERA</t>
  </si>
  <si>
    <t>SP</t>
  </si>
  <si>
    <t>CAMPINAS</t>
  </si>
  <si>
    <t>CURITIBA</t>
  </si>
  <si>
    <t>PR</t>
  </si>
  <si>
    <t>PORTO ALEGRE</t>
  </si>
  <si>
    <t>RS</t>
  </si>
  <si>
    <t>RIO DE JANEIRO</t>
  </si>
  <si>
    <t>RJ</t>
  </si>
  <si>
    <t>BELO HORIZONTE</t>
  </si>
  <si>
    <t>BH SHOPPING</t>
  </si>
  <si>
    <t>MG</t>
  </si>
  <si>
    <t>SHOPPING IGUATEMI CAMPINAS</t>
  </si>
  <si>
    <t>RIBEIRÃO PRETO</t>
  </si>
  <si>
    <t>GO</t>
  </si>
  <si>
    <t>BARRA SHOPPING</t>
  </si>
  <si>
    <t>SHOPPING MORUMBI</t>
  </si>
  <si>
    <t>SANTOS</t>
  </si>
  <si>
    <t>CAXIAS DO SUL</t>
  </si>
  <si>
    <t>SHOPPING CONJUNTO NACIONAL</t>
  </si>
  <si>
    <t>PARK SHOPPING</t>
  </si>
  <si>
    <t>SHOPPING CENTER NORTE</t>
  </si>
  <si>
    <t>SALVADOR</t>
  </si>
  <si>
    <t>SHOPPING IGUATEMI BAHIA</t>
  </si>
  <si>
    <t>BA</t>
  </si>
  <si>
    <t>RECIFE</t>
  </si>
  <si>
    <t>SHOPPING RECIFE</t>
  </si>
  <si>
    <t>PE</t>
  </si>
  <si>
    <t>SHOPPING IGUATEMI</t>
  </si>
  <si>
    <t>SÃO BERNARDO DO CAMPO</t>
  </si>
  <si>
    <t>SHOPPING INTERLAGOS</t>
  </si>
  <si>
    <t>NORTE SHOPPING</t>
  </si>
  <si>
    <t>AL</t>
  </si>
  <si>
    <t>JUNDIAÍ</t>
  </si>
  <si>
    <t>SHOPPING WEST PLAZA</t>
  </si>
  <si>
    <t>SHOPPING ARICANDUVA</t>
  </si>
  <si>
    <t>SHOPPING DEL REY</t>
  </si>
  <si>
    <t>ES</t>
  </si>
  <si>
    <t>PA</t>
  </si>
  <si>
    <t>SHOPPING PRAIA DE BELAS</t>
  </si>
  <si>
    <t>NOVA IGUAÇU</t>
  </si>
  <si>
    <t>FORTALEZA</t>
  </si>
  <si>
    <t>CE</t>
  </si>
  <si>
    <t>DUQUE DE CAXIAS</t>
  </si>
  <si>
    <t>SHOPPING IGUATEMI FORTALEZA</t>
  </si>
  <si>
    <t>SHOPPING CURITIBA</t>
  </si>
  <si>
    <t>SHOPPING TACARUNA</t>
  </si>
  <si>
    <t>SHOPPING ABC</t>
  </si>
  <si>
    <t>PELOTAS</t>
  </si>
  <si>
    <t>NOVO HAMBURGO</t>
  </si>
  <si>
    <t>JOÃO PESSOA</t>
  </si>
  <si>
    <t>PB</t>
  </si>
  <si>
    <t>ARACAJU</t>
  </si>
  <si>
    <t>SE</t>
  </si>
  <si>
    <t>GUARULHOS</t>
  </si>
  <si>
    <t>GOIANIA SHOPPING</t>
  </si>
  <si>
    <t>MA</t>
  </si>
  <si>
    <t>FEIRA DE SANTANA</t>
  </si>
  <si>
    <t>SHOPPING TAGUATINGA</t>
  </si>
  <si>
    <t>MANAUS</t>
  </si>
  <si>
    <t>AMAZONAS SHOPPING</t>
  </si>
  <si>
    <t>AM</t>
  </si>
  <si>
    <t>SHOPPING GUARARAPES</t>
  </si>
  <si>
    <t>SHOPPING PARQUE DOM PEDRO</t>
  </si>
  <si>
    <t>VILA VELHA</t>
  </si>
  <si>
    <t>SHOPPING PRAIA DA COSTA</t>
  </si>
  <si>
    <t>VOLTA REDONDA</t>
  </si>
  <si>
    <t>SIDER SHOPPING</t>
  </si>
  <si>
    <t>WEST SHOPPING RIO</t>
  </si>
  <si>
    <t>CAMPO GRANDE</t>
  </si>
  <si>
    <t>SHOPPING CAMPO GRANDE</t>
  </si>
  <si>
    <t>MS</t>
  </si>
  <si>
    <t>SHOPPING CASTANHEIRA</t>
  </si>
  <si>
    <t>BARUERI</t>
  </si>
  <si>
    <t>OSASCO</t>
  </si>
  <si>
    <t>CONTAGEM</t>
  </si>
  <si>
    <t>SÃO GONÇALO</t>
  </si>
  <si>
    <t>SHOPPING GRANDE RIO</t>
  </si>
  <si>
    <t>SHOPPING BOA VISTA</t>
  </si>
  <si>
    <t>SHOPPING PENHA</t>
  </si>
  <si>
    <t>CENTER SHOPPING</t>
  </si>
  <si>
    <t>SÃO JOSÉ</t>
  </si>
  <si>
    <t>SHOPPING ITAGUAÇU</t>
  </si>
  <si>
    <t>SC</t>
  </si>
  <si>
    <t>SHOPPING RECREIO</t>
  </si>
  <si>
    <t>NATAL</t>
  </si>
  <si>
    <t>RN</t>
  </si>
  <si>
    <t>PIRACICABA</t>
  </si>
  <si>
    <t>SHOPPING PIRACICABA</t>
  </si>
  <si>
    <t>NATAL SHOPPING</t>
  </si>
  <si>
    <t>NORTH SHOPPING</t>
  </si>
  <si>
    <t>PRAIA GRANDE</t>
  </si>
  <si>
    <t>LITORAL SHOPPING</t>
  </si>
  <si>
    <t>SOROCABA</t>
  </si>
  <si>
    <t>LONDRINA</t>
  </si>
  <si>
    <t>CARUARU</t>
  </si>
  <si>
    <t>TERESINA</t>
  </si>
  <si>
    <t>PI</t>
  </si>
  <si>
    <t>SHOPPING JARDIM SUL</t>
  </si>
  <si>
    <t>SHOPPING CAMPO LIMPO</t>
  </si>
  <si>
    <t>FRANCA</t>
  </si>
  <si>
    <t>FRANCA SHOPPING</t>
  </si>
  <si>
    <t>ITU</t>
  </si>
  <si>
    <t>PLAZA SHOPPING ITU</t>
  </si>
  <si>
    <t>NOVO SHOPPING</t>
  </si>
  <si>
    <t>SHOPPING TAUBATÉ</t>
  </si>
  <si>
    <t>JUIZ DE FORA</t>
  </si>
  <si>
    <t>SHOPPING SP MARKET</t>
  </si>
  <si>
    <t>CAMPINA GRANDE</t>
  </si>
  <si>
    <t>SHOPPING ELDORADO</t>
  </si>
  <si>
    <t>FLORIANÓPOLIS</t>
  </si>
  <si>
    <t>FLORIPA SHOPPING</t>
  </si>
  <si>
    <t>SÃO VICENTE</t>
  </si>
  <si>
    <t>BURITI SHOPPING GUARÁ</t>
  </si>
  <si>
    <t>SHOPPING BENFICA</t>
  </si>
  <si>
    <t>MOGI DAS CRUZES</t>
  </si>
  <si>
    <t>PLAZA SHOPPING CASA FORTE</t>
  </si>
  <si>
    <t>SANTANA PARQUE SHOPPING</t>
  </si>
  <si>
    <t>CUIABÁ</t>
  </si>
  <si>
    <t>MT</t>
  </si>
  <si>
    <t>INDAIATUBA</t>
  </si>
  <si>
    <t>TIJUCA SHOPPING</t>
  </si>
  <si>
    <t>BAURU</t>
  </si>
  <si>
    <t>BAURU SHOPPING</t>
  </si>
  <si>
    <t>SÃO CARLOS</t>
  </si>
  <si>
    <t>SHOPPING PALLADIUM</t>
  </si>
  <si>
    <t>LIMEIRA</t>
  </si>
  <si>
    <t>POÇOS DE CALDAS</t>
  </si>
  <si>
    <t>PORTO VELHO</t>
  </si>
  <si>
    <t>RO</t>
  </si>
  <si>
    <t>PETROLINA</t>
  </si>
  <si>
    <t>RIVER SHOPPING</t>
  </si>
  <si>
    <t>CAXIAS SHOPPING</t>
  </si>
  <si>
    <t>RIO CLARO</t>
  </si>
  <si>
    <t>SUZANO</t>
  </si>
  <si>
    <t>SHOPPING SUZANO</t>
  </si>
  <si>
    <t>SHOPPING VIA SUL</t>
  </si>
  <si>
    <t>PRESIDENTE PRUDENTE</t>
  </si>
  <si>
    <t>PRUDENSHOPPING</t>
  </si>
  <si>
    <t>SHOPPING PARALELA</t>
  </si>
  <si>
    <t>SHOPPING MANAUARA</t>
  </si>
  <si>
    <t>SHOPPING UNIÃO</t>
  </si>
  <si>
    <t>DIADEMA</t>
  </si>
  <si>
    <t>SHOPPING PRAÇA DA MOÇA</t>
  </si>
  <si>
    <t>SHOPPING BOULEVARD</t>
  </si>
  <si>
    <t>SHOPPING RIO ANIL</t>
  </si>
  <si>
    <t>JOINVILLE</t>
  </si>
  <si>
    <t>SETE LAGOAS</t>
  </si>
  <si>
    <t>SHOPPING SETE LAGOAS</t>
  </si>
  <si>
    <t>BOULEVARD SHOPPING</t>
  </si>
  <si>
    <t>CANOAS</t>
  </si>
  <si>
    <t>CANOAS SHOPPING</t>
  </si>
  <si>
    <t>SALVADOR NORTE SHOPPING</t>
  </si>
  <si>
    <t>COTIA</t>
  </si>
  <si>
    <t>SHOPPING GRANJA VIANNA</t>
  </si>
  <si>
    <t>ITABUNA</t>
  </si>
  <si>
    <t>JEQUITIBÁ PLAZA</t>
  </si>
  <si>
    <t>JACAREÍ SHOPPING</t>
  </si>
  <si>
    <t>UBERABA</t>
  </si>
  <si>
    <t>SÃO CAETANO DO SUL</t>
  </si>
  <si>
    <t>MONTES CLAROS</t>
  </si>
  <si>
    <t>PARQUE SHOPPING BARUERI</t>
  </si>
  <si>
    <t>SERRA</t>
  </si>
  <si>
    <t>SHOPPING MESTRE ÁLVARO</t>
  </si>
  <si>
    <t>MARILIA</t>
  </si>
  <si>
    <t>SHOPPING METRÓPOLE</t>
  </si>
  <si>
    <t>SERGIPE</t>
  </si>
  <si>
    <t>SHOPPING DA ILHA</t>
  </si>
  <si>
    <t>BOURBON SHOPPING WALLIG</t>
  </si>
  <si>
    <t>PARQUE SHOPPING BELÉM</t>
  </si>
  <si>
    <t>JUAZEIRO DO NORTE</t>
  </si>
  <si>
    <t>SHOPPING CARIRI</t>
  </si>
  <si>
    <t>SHOPPING ESTAÇÃO BH</t>
  </si>
  <si>
    <t>SHOPPING BELA VISTA</t>
  </si>
  <si>
    <t>SHOPPING DIFUSORA</t>
  </si>
  <si>
    <t>IMPERATRIZ</t>
  </si>
  <si>
    <t>SHOPPING IMPERIAL</t>
  </si>
  <si>
    <t>CABO DE SANTO AGOSTINHO</t>
  </si>
  <si>
    <t>SHOPPING COSTA DOURADA</t>
  </si>
  <si>
    <t>SÃO JOSÉ DO RIO PRETO</t>
  </si>
  <si>
    <t>SHOPPING CIDADE NORTE</t>
  </si>
  <si>
    <t>JUNDIAÍ SHOPPING</t>
  </si>
  <si>
    <t>CONTINENTE PARK SHOPPING</t>
  </si>
  <si>
    <t>MOGI GUAÇU</t>
  </si>
  <si>
    <t>BURITI SHOPPING MOGI GUAÇU</t>
  </si>
  <si>
    <t>NORTE SHOPPING LONDRINA</t>
  </si>
  <si>
    <t>SHOPPING PRÊMIO</t>
  </si>
  <si>
    <t>MARABÁ</t>
  </si>
  <si>
    <t>BETIM</t>
  </si>
  <si>
    <t>AP</t>
  </si>
  <si>
    <t>ARAPIRACA</t>
  </si>
  <si>
    <t>ITAPECERICA DA SERRA</t>
  </si>
  <si>
    <t>SHOPPING MACEIÓ</t>
  </si>
  <si>
    <t>SHOPPING PASSEIO DAS ÁGUAS</t>
  </si>
  <si>
    <t>SHOPPING JK CEILÂNDIA</t>
  </si>
  <si>
    <t>SHOPPING PARANGABA</t>
  </si>
  <si>
    <t>SHOPPING CONTAGEM</t>
  </si>
  <si>
    <t>SHOPPING MONT SERRAT</t>
  </si>
  <si>
    <t>SHOPPING SUL</t>
  </si>
  <si>
    <t>MARINGÁ PARK SHOPPING</t>
  </si>
  <si>
    <t>SHOPPING TIETÊ PLAZA</t>
  </si>
  <si>
    <t>CARIACICA</t>
  </si>
  <si>
    <t>SHOPPING MOXUARA</t>
  </si>
  <si>
    <t>UBERLÂNDIA CENTRO</t>
  </si>
  <si>
    <t>SÃO LUIS SHOPPING</t>
  </si>
  <si>
    <t>SHOPPING VILA VELHA</t>
  </si>
  <si>
    <t>RIO BRANCO</t>
  </si>
  <si>
    <t>AC</t>
  </si>
  <si>
    <t>RIO VERDE</t>
  </si>
  <si>
    <t>ANÁPOLIS</t>
  </si>
  <si>
    <t>BOA VISTA</t>
  </si>
  <si>
    <t>PÁTIO RORAIMA SHOPPING</t>
  </si>
  <si>
    <t>RR</t>
  </si>
  <si>
    <t>NORTH SHOPPING MARACANAÚ</t>
  </si>
  <si>
    <t>SHOPPING VIA NORTE MANAUS</t>
  </si>
  <si>
    <t>SHOPPING PÁTIO NORTE</t>
  </si>
  <si>
    <t>SHOPPING ALDEOTA</t>
  </si>
  <si>
    <t>PALMAS</t>
  </si>
  <si>
    <t>TO</t>
  </si>
  <si>
    <t>SHOPPING GRÃO PARÁ</t>
  </si>
  <si>
    <t>IPATINGA</t>
  </si>
  <si>
    <t>SHOPPING RIO POTY</t>
  </si>
  <si>
    <t>PAULISTA</t>
  </si>
  <si>
    <t>SHOPPING NORTH WAY PAULISTA</t>
  </si>
  <si>
    <t>UBERLÂNDIA SHOPPING</t>
  </si>
  <si>
    <t>SHOPPING NOVA IGUAÇU</t>
  </si>
  <si>
    <t>SÃO JOSÉ DOS PINHAIS</t>
  </si>
  <si>
    <t>SHOPPING PATTEO OLINDA</t>
  </si>
  <si>
    <t>CAMAÇARI</t>
  </si>
  <si>
    <t>CAMARAGIBE</t>
  </si>
  <si>
    <t>CAMARÁ SHOPPING</t>
  </si>
  <si>
    <t>ANANINDEUA</t>
  </si>
  <si>
    <t>ARAÇATUBA</t>
  </si>
  <si>
    <t>BLUMENAU</t>
  </si>
  <si>
    <t>CABO FRIO</t>
  </si>
  <si>
    <t>LAURO DE FREITAS</t>
  </si>
  <si>
    <t>GOLDEN SHOPPING CALHAU</t>
  </si>
  <si>
    <t>ÁGUAS CLARAS SHOPPING</t>
  </si>
  <si>
    <t>RIO GRANDE</t>
  </si>
  <si>
    <t>PARTAGE SHOPPING RIO GRANDE</t>
  </si>
  <si>
    <t>PARTAGE SHOPPING MOSSORÓ</t>
  </si>
  <si>
    <t>SHOPPING ANÁLIA FRANCO</t>
  </si>
  <si>
    <t>FOZ DO IGUAÇU</t>
  </si>
  <si>
    <t>GUARAPUAVA</t>
  </si>
  <si>
    <t>BRAGANÇA PAULISTA</t>
  </si>
  <si>
    <t>BRAGANÇA GARDEN SHOPPING</t>
  </si>
  <si>
    <t>VÁRZEA GRANDE</t>
  </si>
  <si>
    <t>VÁRZEA GRANDE SHOPPING</t>
  </si>
  <si>
    <t>RIO DE JANERO</t>
  </si>
  <si>
    <t>UMUARAMA</t>
  </si>
  <si>
    <t>CARPINA</t>
  </si>
  <si>
    <t>ITABAIANA</t>
  </si>
  <si>
    <t>PATOS</t>
  </si>
  <si>
    <t>LAGES</t>
  </si>
  <si>
    <t>SINOP</t>
  </si>
  <si>
    <t xml:space="preserve">Shopping Metropolitano </t>
  </si>
  <si>
    <t>Park Shopping Jacarepaguá</t>
  </si>
  <si>
    <t>PARAUAPEBAS</t>
  </si>
  <si>
    <t>Partage Shopping Parauapebas</t>
  </si>
  <si>
    <t>TEIXEIRA DE FREITAS</t>
  </si>
  <si>
    <t>PARNAÍBA</t>
  </si>
  <si>
    <t xml:space="preserve">Parnaíba Shopping </t>
  </si>
  <si>
    <t>ITAPETININGA</t>
  </si>
  <si>
    <t xml:space="preserve">Shopping Piratas </t>
  </si>
  <si>
    <t>BOTUCATU</t>
  </si>
  <si>
    <t>GURUPI</t>
  </si>
  <si>
    <t xml:space="preserve">Shopping Center Araguaia </t>
  </si>
  <si>
    <t>Shopping Cidade Maringá</t>
  </si>
  <si>
    <t>Shopping Trimais Hiper Center</t>
  </si>
  <si>
    <t>ALTAMIRA</t>
  </si>
  <si>
    <t>Shopping Serra Dourada</t>
  </si>
  <si>
    <t>MURIAÉ</t>
  </si>
  <si>
    <t>BARBACENA</t>
  </si>
  <si>
    <t>DIVINÓPOLIS</t>
  </si>
  <si>
    <t>Shopping Pátio Divinópolis</t>
  </si>
  <si>
    <t>Barra Shopping Sul</t>
  </si>
  <si>
    <t>GOIÂNIA</t>
  </si>
  <si>
    <t>Shopping Cerrado</t>
  </si>
  <si>
    <t>TRÊS LAGOAS</t>
  </si>
  <si>
    <t>Shopping Três Lagoas</t>
  </si>
  <si>
    <t>Boulevard Londrina Shopping</t>
  </si>
  <si>
    <t>BARREIRAS</t>
  </si>
  <si>
    <t>Loja de Rua Barreiras</t>
  </si>
  <si>
    <t>Shopping Boulevard Rio</t>
  </si>
  <si>
    <t>Loja de rua Castanhal</t>
  </si>
  <si>
    <t>SOBRAL</t>
  </si>
  <si>
    <t>Sobral Shopping</t>
  </si>
  <si>
    <t>SERRA TALHADA</t>
  </si>
  <si>
    <t>Shopping Serra Talhada</t>
  </si>
  <si>
    <t>SANTA MARIA</t>
  </si>
  <si>
    <t>Local</t>
  </si>
  <si>
    <t>Dívida Líquida</t>
  </si>
  <si>
    <t>Dívida Líquida/EBITDA Recorrente</t>
  </si>
  <si>
    <t>Cobertura de Juros - Competência</t>
  </si>
  <si>
    <t>Cobertura de Juros - Caixa</t>
  </si>
  <si>
    <t>Receita Líquida - Varejo</t>
  </si>
  <si>
    <t>Receita Líquida - Financeiro</t>
  </si>
  <si>
    <t>Receita Líquida - Outros</t>
  </si>
  <si>
    <t>Número de Lojas</t>
  </si>
  <si>
    <t>Aberturas</t>
  </si>
  <si>
    <t>Fechamentos</t>
  </si>
  <si>
    <t>Área Total (m²)</t>
  </si>
  <si>
    <t>Ano 4</t>
  </si>
  <si>
    <t>Ano 3</t>
  </si>
  <si>
    <t>Ano 2</t>
  </si>
  <si>
    <t>Ano 1</t>
  </si>
  <si>
    <t>Tamanho Médio Loja (m²)</t>
  </si>
  <si>
    <t>Receita Loja Madura (R$ mil/m²)</t>
  </si>
  <si>
    <t>Premissa</t>
  </si>
  <si>
    <t>Curva de maturação</t>
  </si>
  <si>
    <t>(%) Receita Varejo</t>
  </si>
  <si>
    <t>EBITDA</t>
  </si>
  <si>
    <t>EBITDA - Recorrente</t>
  </si>
  <si>
    <t>TI e Outros</t>
  </si>
  <si>
    <t>Aquisições</t>
  </si>
  <si>
    <t>Ativo Operacional</t>
  </si>
  <si>
    <t>Passivo Operacional</t>
  </si>
  <si>
    <t>Receita Bruta</t>
  </si>
  <si>
    <t>Deduções</t>
  </si>
  <si>
    <t>Rendimento do Caixa</t>
  </si>
  <si>
    <t>Custo da Dívida - After Tax</t>
  </si>
  <si>
    <t>A receita média por loja madura seguirá a tendência de crescimento histórico, ignorando os 2 anos de pandemia (2020/21)</t>
  </si>
  <si>
    <t>Inflação Implícita</t>
  </si>
  <si>
    <t>Crescimento PIB Real</t>
  </si>
  <si>
    <t>R$/Loja</t>
  </si>
  <si>
    <t>Saldo em Tesouraria</t>
  </si>
  <si>
    <t>Receita - C&amp;A Pay</t>
  </si>
  <si>
    <t>Receita - Bradescard</t>
  </si>
  <si>
    <t>Receita Líquida - Financeira</t>
  </si>
  <si>
    <t>Despesas com PDD</t>
  </si>
  <si>
    <t>Como % da Carteira de Crédito</t>
  </si>
  <si>
    <t>Carteira de Crédito Total</t>
  </si>
  <si>
    <t>Quantidade de Cartões Emitidos</t>
  </si>
  <si>
    <t>Novos Cartões</t>
  </si>
  <si>
    <t>Volume de Crédito por Cartão</t>
  </si>
  <si>
    <t>A C&amp;A não fechará nenhuma loja nos próximos 3 anos. Esta premissa pode ser otimista demais.</t>
  </si>
  <si>
    <t>Receita Financeira por Cartão</t>
  </si>
  <si>
    <t>Despesas/Receitas Operacionais</t>
  </si>
  <si>
    <t>Margem Bruta</t>
  </si>
  <si>
    <t>Margem Bruta - Varejo</t>
  </si>
  <si>
    <t>Margem Bruta - C&amp;A Pay</t>
  </si>
  <si>
    <t>Margem Bruta - Outros</t>
  </si>
  <si>
    <t>Lucro Bruto - Varejo</t>
  </si>
  <si>
    <t>Lucro Bruto - C&amp;A Pay</t>
  </si>
  <si>
    <t>Lucro Bruto - Outros</t>
  </si>
  <si>
    <t>Despesas com PPD por Cartão</t>
  </si>
  <si>
    <t>Margem EBIT</t>
  </si>
  <si>
    <t>Margem EBIT Recorrente</t>
  </si>
  <si>
    <t>Ticker</t>
  </si>
  <si>
    <t>Ativos Não-Operacionais</t>
  </si>
  <si>
    <t>Créditos Fiscais</t>
  </si>
  <si>
    <t>Valor da Ação</t>
  </si>
  <si>
    <t>Cotação</t>
  </si>
  <si>
    <t>Upside</t>
  </si>
  <si>
    <t>Ações Emitidas</t>
  </si>
  <si>
    <t>Valor do Equity</t>
  </si>
  <si>
    <t>Valor da Firma</t>
  </si>
  <si>
    <t>D&amp;A de Arrendamento</t>
  </si>
  <si>
    <r>
      <rPr>
        <sz val="11"/>
        <color theme="1" tint="0.499984740745262"/>
        <rFont val="Calibri"/>
        <family val="2"/>
      </rPr>
      <t>Δ</t>
    </r>
    <r>
      <rPr>
        <sz val="9.9"/>
        <color theme="1" tint="0.499984740745262"/>
        <rFont val="Avenir Next LT Pro"/>
        <family val="2"/>
      </rPr>
      <t xml:space="preserve"> </t>
    </r>
    <r>
      <rPr>
        <sz val="11"/>
        <color theme="1" tint="0.499984740745262"/>
        <rFont val="Avenir Next LT Pro"/>
        <family val="2"/>
      </rPr>
      <t>Capital de Giro</t>
    </r>
  </si>
  <si>
    <t>-</t>
  </si>
  <si>
    <t>Como % da Receita Líquida</t>
  </si>
  <si>
    <t xml:space="preserve"> </t>
  </si>
  <si>
    <t>Teste de Consistência (ROIC)</t>
  </si>
  <si>
    <t>Valor Presente</t>
  </si>
  <si>
    <t>Prêmio de Risco</t>
  </si>
  <si>
    <t>CDS</t>
  </si>
  <si>
    <t>CEAB3</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</si>
  <si>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</si>
  <si>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</si>
  <si>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</si>
  <si>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</si>
  <si>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</si>
  <si>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</si>
  <si>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</si>
  <si>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</si>
  <si>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</si>
  <si>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</si>
  <si>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</si>
  <si>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</si>
  <si>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f06a8309-f4cc-4db3-9700-7b59148c86ce</t>
  </si>
  <si>
    <t>CB_Block_0</t>
  </si>
  <si>
    <t>㜸〱敤㕣㕢㙣ㅣ㔷ㄹ摥㌳摥㕤敦慣敤搸㡤搳㑢㑡㘹㕤㑡㈹挴挱㡤搳㠶㔲㈰〴㕦㥡㑢㜱㘲㌷㜶㔲㄰愰捤㜸昷㑣㍣捤捥㡣㍢㌳敢挴愵㔲㉢㘸戹㔳挴㔵ㄴち㔴〵㔵攲㠵换ぢ昷ㄷ㉥ㄲ〸ㄵ㠹〷㜸〰昱㔰㄰〲㈴㄰㡡挴ぢて㐸昰㝤㘷㘶㜶㘷㜶扤㘳㜷摢㠲㡢㝣搲晤㝤收摣收㥣昳㕦捦晦㥦㘹㑥攴㜲戹㝦㈳昱㉦㔳㥥㤹敢ㄶ搷晤㐰摡ㄳ㌳㙥扤㉥慢㠱攵㍡晥挴㤴攷ㄹ敢㜳㤶ㅦ昴愱㐱戱㘲愱摥㉦㔴㝣敢〱㔹慡慣㐹捦㐷愳㐲㉥㔷㉡改ㅡ敡㌹〸㝦㈳昱㠳捥㕥㠳㜹㠰愵㤹改昹攵晢㌰敡㘲攰㝡㜲晦搸搹戰敦攱挹挹㠹挹㠹㐳〷敥㌸㌸㜱㘰晦搸㑣愳ㅥ㌴㍣㜹搸㤱㡤挰㌳敡晢挷ㄶㅡ换㜵慢晡㔶戹扥攴㕥㤰捥㘱戹㝣攰戶㘵攳昶搷㑦摥㝥攸㤰㜹攷㥤慦ㅦ挴慢㜳愷㘶愶ㄷ㍣㘹晡㉦搰㤸〵㑥昹昶㔹㔹戵戸㌶㈹㍤换㌹㍦㌱㌳㡤晦ㄲ昳挷搳ㅤㄳ㡢㉢㔲〶㝣戵昴愴㔳㤵扥㡥㡥〳昶㤴敦㌷散㔵㙥㥥㙥ㅦ挵㔲慢㠶ㅦㄴ散ㄹ㔹慦敢㜶㍣㙡挹㥥挷摥搵㡤昵㐱㝢㔱㍡扥ㄵ㔸㙢㔶戰㕥戴㤷㌰㔰㙤挸㍥攳换搳㠶㜳㕥㥥㌲㙣㔹戰㡦㌵慣㕡㍥㑣戹扥㕢攲㈱㤲ㄳ㔳换㥦㤸昲敤㤹ㄵ挳㔳㌳昲戹㌱ㄹ㙤㡦㝡搵㜴摢㥢扡㡦换愹慢㌷㜰捣㥢扢户㐳捤㔹挳㙢戶ㅣ敦摥㌲㕡㝣㝡〶户㜶㙦㥦搸愳㜴㥦搷㜴敦愳戶㌲摤㕡っ㐴昴慤㜶ㄴ㡢搱㡢〴晤〴㈵〲㈲㔰㉦ㄳっ㄰っ〲㠸晣㍦挰㈵挹㡥慣搲㉡㠶㔶㔹搶㉡㔵慤㔲搳㉡㔲慢㤸㕡攵扣㔶㔹搱㉡㤶㔶戹㑦慢㕣㐰㥢㌸㤵晡晢戵㈸昵扦敥搷㕦昸搱挷㝦㍢晢挹挷昶晤攵ㅢㅦ㙡晣㝤㜰ㄷㅡ摤ㄳ㑤㙡搶㌳㉥㠲搴㕡㔴っ㡥攰扦捤戹〲㑣㘱ㅥ㌲敦㌰㈷㈷㙢㠷づㄸ户ㄹ〵㉥㉢〳昹㈹㐲ㄹ㐱摢㐱昳㕥换愹戹ㄷㄵ敥慥㥢㌶㝣搹摡戸昱愸㙥摡㙤㌸㌵晦㘵ㅢ㔷㉥〶㐶㈰慦㙤慦㙢つ搲搱㙤ㄱ㙣㈵㝤昵扥敢摢扢㥤㌵敡つ㌹㜵挹ち慢㕦摥㔶㙤㉦㜸敥㜲昷摡愳㥥扣扦㔹摢㌱愳㈹〸戵㌵㌵㜶挷㉡挳慡㜰㕥㘳㌳㉢慥㉦ㅤ㌵扤㜱㝢挱慡㕥㤰摥愲愴㐸㤴㌵戵搴㉢㔹ㄵ㜱晤昸扣㠳㠵㠲㕢㙢慦㐸㤶㥡㜷㕤ち挰捣戲㠶昹慥㑡㉦㔸㕦㌲㤶敢昲慡㔴㤳昰㥤愸搸㥢㉡㍥敡㔶ㅢ晥㡣敢〴㥥㕢㑦搷㑣搵搶っ㐸㥡摡㐹户㈶昳昹㥣ㄲち㄰戸㝤㝤㐲攴昶㜵攷〵㠵㠸〴㡡挹挸搷愴挹㙥攲㌴㔶㠷㔵搴㈵㘹㔲㝢攵㈶㠳㜱扥㑡挶㘴㜰㘰㘲㑤搴ㅦ㝣改慢㌷ㄹ戶㠹戹ㄷ户戱愶㡤㐶慢扦㙢㑤㍡挱㜱挳愹搵愵㤷愹晤〴㘷愴て〳ㄴ㉥㐳㈰㜴摤㍤慡㍡㜱㐹慣ㄷ㉥㕡戵㘰愵戸㈲慤昳㉢〱捡愰㈱㑢㈵㙥㙤㐷搲慦㐰㤱扥㥢㘰ㄴ愰㕣捥ㄵ昷戰㔱戱㡣㤴㉢㔰㍡㘵昰㜲㑡㤰戳㕦㡡㤷〷捤愳㔶㍤㤰愱㔰ㅥ㌶㠱㤱㔰慢㈹昴つ㤱㐴㍤愳ㅡ㉡㡣㍤收っ愸搴戰㥣㘰扤挵户ㅤ㕣ㄲㄲ搱㡥㉣搸㜶戲㠰愲㈰㉤て㌲㜸つ㐴搳㈶つ戲ㅢ㈷㠸㠸㙣㤰愱搹㌱㜲㥡挸搸㍥㐳㐶愰㝤㤲〸搹晡㐰㜷ㄹ㐱㘲敦㈴㔲㜶敡捡㡦㍢搲㙣㈳㕢㍥㤴㘶㔷㘲攳昴慢〸慥㈶戸㠶㘰㉦㠰昸ㄳ㈴ㅣ愵ㅣ昲改愴扦っ捦晡㜵〴㉦〷㠰㝣搲㈹㜳㈲㔱㐵ㅢ㙡㉢㜶㈴摢つ挱㑥㔶㐶㜱㈸㡡㘸ㄹ㌷敤捣㈱㕢㈱㍡戲㍡户㠷慥捤㉢ㅤ晢慡敥戴㤹㕣づ㈹㌲愳㘹㜲慤㥢㌴㑤㙥〴㥢昶愸户㙥㐰㔷㝤㡣攰㐶㠰戲晥ち㐲㈸ㄷㅡ扣㕢戳攸㘹㔲扥㈴捣愲搰ㄸ敡㔱挱㐷㠴捣㈳㐰㠶㤰敢㌸扥散搸搰㌴〷挷捤㤷扣つ扤扦㍢㝦㐷㐸㙦搳㥢㍢㝡㠷晥愲攷㘸㐵摦〴昶ㄲ扦敢慡㘳㙥㐶戵晥㉡㠲㕢〰摡㜴っ㑦摦捦搵㔳愰捣㘲㍢㠱戹摤昴扡㈸㉢㜷㘹㝤㔵㉡つ㌴㘸㉥ㄹ摥㜹ㄹ挰㠳㜱㘲ㄶ戶戰敢㜹戲㡥㐳㙤㑤ㄵ昰晣㜲㜵扡搰㍦敡戹㌶换㜷㙣㘴晦㈵愱ㄸ昲㜹慤㉦搷㘶㈳㘷搸㥡〹㥦㔳㠲㜲愸㠳㙦敢㉥㈴ㄲ㥤搲攴挵㝥搹攷换ㅤ㐹搲㠳㈴㜹つ戶㔵摦〷〰㈹㈱㝥摤㔵愲散㘷戳搷慡㘶㘹㡢㤵ㅥ扥㡣搳㐹㥢て戱㐳㡥っ㠴づ摢㘹昸て晣㈱㝢搱戲㥢挲㘲挰㕥㤰㕥ㄵ扥〵慢㉥换愱㕢㤶愲㘶㐷㔶扣㐴㘴㐵㕦㕦挷㜹㍡挳扦愶攸愴㑤㑡㘴㜲㝢㘶㘵挶㔹扣㐵㔴㜴㐳㔲愸㘴戸㠶㥡ㄲ㠸㤴挷戶㍢㈲愶〷ㄱ㜳㉢㌶㑥㍦㐰㌰㐹㜰㄰愰昰ぢ㐸㥡慤㙥㍣挳㘱晤㙢㜴㘹㔷㉡戹ㄲ搱愰㕣㠴捦㜴ㄵ㔶㠷昸㥡搷ㄱ摣〱搰㘶晥搰〱㤹㐱㠸ち攵〹㐲㔴㘱っ昳慣㈵㉦㤲〶㜶㤹〸㉣捤㌴晣挰戵ㄹ㔹ㅡ㌲㘷摤㔳㙥㌰㙢昹慢㠸㐴㡤㥡㔱收摥ㄵ改㠰扡㍣搸㍥㙤㘵敥敡慡慣改收愲摢㠰㘸㍢㌱扢ㅤづ收搸づ搸㤲敡㙣慥〹愴摥捥挷ㄸ㐲㘰愷㤵扦㤵摥搸㉤㜹扦㜹攸ㅢ㙥敤攸㤲ㄵ搴攵㠰ㄹ㌲ㅤ昳㈵ㄳ扢㠸挸㐱慤摦㕣㕡昱愴㥣ㅤ㌲㡦㜹㔶慤㙥㌹㤲挸㠰㡤挹㘰摤㥣㍣㡦㈸挱㠲换ㄸ愰敢っ㤹㑢㥥攱昸慢〶〳㡡敢扢㔳㑦㉡㉣㔲㌰愷㉤挷挷㙢ㄴㄶ㤹ㅦ㌶ㄷ㔷摣㡢㠸搸㌶㙣攷㤸戱敡㙦ぢ慣㤰攸挳愴㔰㈳㌴愱㘹愲愴㤵㝡挵てて攴戹ㅣ㜹㉦㑦愰㜰㤵㉢搰㘷㥥愱扤㘹搷㐷㌱ㅡ摡改㥣搳㈰愲㐷捤挲扥㑣㈹㑣㑥搵敦㘴㥦㌷〰摣㝤散捣㠹㔶㘴敥㜹挵慣ぢ昴昲㘷挸㜸㐵ㄶ捤㐰〸㝤㜴扢㐲㔲㘱ㄹ㈹〷ㅣ〸㡣昳愹㥤晣捡愶㙡㐳敡摢搵捡ㅥ㐵㈴㘹搰㥣㌳㤶㘵ㅤ昱㘸摢〸㜶㠵て㌴㘳㙤愳敥㐷㜵㌳慥㙤ㅢ㈴㉤㤲攵㘲搵㈰〵㑦㌵〲昷愴攵攸㈶㠰愲扦愸挸戸㠴㈲攳㤲㉡ㅡ㌴㑦㌳㌴愸昲ㅣ换㍤㙦㜸㔶戰㘲㕢搵ㄲㅦㄸ扥摢ㄶ㌴〹㈶愷攴㡤㔳㉣㌳挶摡慣昹㌳㌰搹晣〹愰㝢〲㜲㤴㕢㐷昴㠳㜲㌵㔱挴㍦搱愳㘳〹〲㐶㜹㑡昵㌷㘱戴㠲扡ㅤ〱㤱愳搲攵昸づ挶攵㠷㔰ㄲち㈱㘲㍤㠳㐴攰ㄵ㑣〸㜹扡戸㡢收ㄹ挷ち㠰㍤㘲散愸ㄵ捣晡㐰㌹〰戲敡㜸㝢慤挲㙡愲搳㜸㔳㉢摣搰㔹㤵㔲ㄳ搷㜷搶㈷昵挶㉢㌷愸づ㌵㑡㐲㤱㙣搶㐸㘹㤶つ收戸㥤㔴㡤㔰㡡㍢搶㌶㈲换㙤摡摡㜷㑡㤱攷愱㤸ㄴ捤攴昴㌷㉢㐲㐱愰㌷搲㔱昴搹㘷㤳㐷㈲㘲㐳ㅢ愰㑣㍤ㄵ㤶つ㐵㈱挱ㄳ戸㜶㔲㤳攵攸〹晣扤㉢捡捥㌷㠲㔴㡤㜱㘹㌴慡㤹慡搷攷ㅤ㔸〹㔵挳慢㙤ㄳ㤶挶摡㐲つ愳戸戳㔷敤ㅦ㙥㙦㠲ㄱ㈳㌶㘴㔸㈴挳てっ㌶〴㜳㈵㈲慡戴捥㠶戸搵捤攲ㄲ㥦㑥㑡挳㔱ㄸ㔸っ㙡戳㜲㑤㤹㘱㉤㑢㝥㔴㜵㘸㥥ㄶ㤵ㅣ搵捤愹㘵ㅦ㉡㍤愰ㅣ㡦㜲㡡挱㜵昳㌴摤㔲戸挴〰戱ㅢ攵ㄶ慡〱㐲扢捤〱㜸㌲搸㍥搸挱㡥㠴愱ㄳ㕡㘷㤴愰挵っ挲㑤㉦㠲扣搳㈳㐶㈱㐸㑤㤵晥㝥㐴㝣敥㜱愶慦ㅥ挹挵㤹㠸㠹ㄸ敥捡戰ㅥ㠰摣㘴㘴㤲㕣㌴ㅡ〷捣㐳挹愶㠴搶㘰㕣㐶ㄳ㘳㠸㈶㥦ㄷ攰ㄶて㘳㔹挳㘴㥢㍡敥戹〵ㄶ戴㘹㝤㝤㤷㜹挲愹搶ㅢ㌵愹㔴㜱㉣慢㤵㐶摥ㄶ昸㔲㔷〰㐳㙥捡搸㤷㘸㔳㑥攰㈸挵㈵ㄳ㐹扤摢摤晡ㄱ㜴㔷㐲づ㘳㠴慡㡦〱挸っ户㥣ち㠸㜵摣㔳愰㝤戸扢㜵㠱㐱㕤㥥㠳㐸敢㈸愲㉣㥢挳㝤扣㘶ㄴ㔹㜱㕢愲搹㥣㍢攷搲㘶㑦ㄴㅤ户挲愲㙤㠱㈳慣㌳ㄴ㜸挵㈲㡣㤱ㅥ戹㠳㠳攴㉥㐷搱摤换て愹挷摣㘵愰㐲㘱㐰㌰挶换㔳㔰づ扢ち㐶愲挱慤戵慣㙥挱攸㉦㉤㙦㝤ち㐰㌰っ㑣㠳ㄶ㉤㐳〳㘷〶昹捤つ㥣ㅢ搰㉡㈳㐲㥡っ愶㌲㐶㌹ち㠷㍤㤰〶㙥攲㐱㝡挹㠵ㄲち昶愸㡢㘱昱摤挴㜱ㅢ㐷㈰搷扢慡慤㜰挱〸㜰晤挵搹摢㔶㍣㔵慢搱摣㠵㝦㙥㕢㘰ㄵ㔷㌷㐲㜳㜴㑦摢愵㉣戵㈶摡㜷㌷戵㔵㐴㤷〵て捥㑥ㅣ㌷㠲敡捡㘲戰ㅥ㕥摣敡㤵㈴ち㍦㠰㍦㘲挳户搳㘶捥㍢扣㠸扡挶扤㉦㕦㜰摣㡢㡥㥡㔷挱攷慤㍦㔰〸慥㔰昶㜳㤲攵摣扦昱㑦㈵㉤㔷昸㍥㐶摣捡戴㌹㐰换㐱挲㜱㔴ち愵挱ㄸ昲ㄹ㜴〲摢扤㜹㙢㠰㜴戲愷㡤㑥㤴㈰搸㈱ㄴ攷晣ぢ㐶㈸攲㝢㐰㉢㠹㈵㍣㤲㘳捦㥦〶敢㡢敦愲㠴〸挷㜳㈴㐶ち㌷㈲㤷㠱㍡㈵挸愳㉢ㅥ扣㄰昲晦㠳愵㤸㥢㌷㘴愷晦〲㌳㡢敦戴愳攸㝡愲攸摢ㅤ㈸ㄲ扣〶愲昸昷㙥㘴攲㔴㘰㜸昶㌹〵挲戹愶㥤〳攸㡢㝥攱昷㝦㜸〰㥤㡢㠸㐳搹㘸〸戵摤㡣攷愶㠹搰搷㘱㈲㌰㜸慦㑣㠴㤳挸〸㐶昱㐳ㄳ㈱昲㠱捣愳㘰㜳ㄳ㠱戱扤っ㐳㌰ㄱ㙡㑤戸㌵㜸〲扢捡愶㝦散㌸㉥摥㑡ㅦ昱㝣㈸㉤㝦〶ㅥ愹慢㍢㡢ㄷっ捦戰昷慡昲㘳㥥㠴㌲昳㤶㜰㤳㕢㜵㘱㡦㙢㌷慣㔱㥤㌶昰㔵挴㕥昶ㅤ㝦捡搶敥慦〳㔳㘱ち摤昷愲㈴㡡捦挳㔳㈲㜸㙥挸扤㝢捦搷㡥晤晥㠱㐷㡥昰戶㕡㐴慢㠵㝤挸昷ㄲ戲愷㍤㠱愰㙥攲愲挸㤵晣㌰攷㈴㍥㔱戲㔶敢㜲摡昰㤴ㄵ攴敢㜶㥣つ〹㉦㐱㤸㈱昱㙤〷ㄳㄳ昷ㅥ㐲ㄳ㜳愲捤摤愹㍥㙣㔲㉥挲㠹挴挴㤵㑦㉦づㅢ㡡慥㡡慣㐷㙢戳昰つ愸愲攷㌸㤱戴㤵挸㔳㈷㤳㄰㕦㙦搷㜵㠷愸敢挲㠳っ挳晥戱㤴㐲晣㠱ㄴ㤲㍣挸昰㐲㠰㤲㔲愷㤱㈹摣ち㤰ㄱ㔹㙢て昱搲ㅦ戰㈳〴㘴昳搲㕦㡦ㅦ戱㘰ㄷ㠱挵搸ㄷ摦敢㠹㤶戶㘸慣㥡ㄸ慡㔵㌶捤㈲㌲敡昰挲㠲挹戸㌴㘵改ㅣ㐴改㤶摤㔱㝣挹㤰ㅤ〶摥㐲挶㉥搸昴戵㤵敤扢㥣〶㙥㝥㐰捦ㄴ㤵挲㜰㜶戳ㄸ〷㔲ㄵ愳ぢ㥢㤶挳㈲挲攱㌰摢散㌴㄰㔵㐱㘷㌹㝢㜱㉡㐵昰㡦㕦ち戱㝥扣㌵昴㤵敤㌵搴㜱㑥㍦ㄶ挸ㅦ散慦敢㌳ㄸㅢ㙦㈵挷㐰挲㙥愹㔵㈹扣ㅥ㝥〶㕤戸攸㥣搰㕢㔹昵㉣づ攱㑦捣㔹㝤㕡㠷晥㘷昴㕡㜱搶㔹昶㘶ㄸ㍢愵晦摦㠶㠲㑤昵扦㘰散㑤㈱昲敤㔱㠶て〵挶㑦㌶つ搹㜰㐷攰搹㐶昰㐶ㅤ㡣㜵㤵㘵挸㍢捣㉤攲攳搵戰㕡㐹㜰昸扤昲敤㔷㈳㥡㝤㘹摢づ㜴ㄵ㠰㡣つㄵ㥥㠶〸敡摡㍦㉤户攲搳㙤昱ㅤ攸戸攷愴㔵昵㕣摦㌵㠳戱㐵〴㝤挷昸敤㤹〹㥢㘷㑡㝣愵㕤愸摤㠴㥤ㄸ㝣ㄷ晡㥣㥡㠷挰㍥㈵㠳ㄷ㉡ㄶ挹挸挲搶㈲ㄹ晣づ㘹㈴ㄱ㕥愲㜶昰慦㌰敦㘹ㄸ㜵㝣扡㍡て㕦㘷挰愲㙤愱散㐲㡦㜳晢つつ㙥ㅤ敥㘸扤ㄵ晥㈰㔹㥦㐰㜰㑣㉤攱ㅤ敦攲扥戶敦㐱扡㙤戴㌶㥦㉤㝢昳戹㤵ぢ㑦〱愷㕢㝢㑢㥡㘴昸㑥㝥㤱㕣搶㉢㠴戸戴㝦〴㝦户敥愰攵㘸愳愰昳攸㠳㙥㍡挲挶敢㜰㥦㙤㈱晡㝤づ㕤挵ㄴ〱㝥扡ㄱ㘵昸㈰攸攵㈳㉢㡡㉦㘲㔹㘴〰攴㜳挵㉡㐰㜷慡㝥㘲㈳慡ㅥ㠹〵戲攰ㄹ㠳攴㔸ㄶ㥦㐷㐳㙥㔷戸㙣戰〴㤷㉤搴㔹〲㜹㍤敥㠱㝣㑥昰㉣愱㈶昲㔹㜴㘸㑥挴㐲㘹昷㠹㝣㘶愳㠹〸㕡〱㙡愱挹昱㐷㘲㉤愲搷㔱慤摢〴づ㠱ぢ㌰㑣戱㐸㔹㔳っ㐳ぢ摦㈵㘶㤰㝥ㄹ晤㝤昶挸㉦㥥㘱晡摢ㄱ愱〴㈱慡搲㤳愷㈰㔴㤳晦㔸㜲昲ㅥ㑡扢㑦晥愳ㅢ㑤㝥㠴㌲㤲㌳搱〳㠰愱㍥㔱挱ㅦ戵㤸〶㌲摣㐷晥挴㌹〲晣㔲戳ㄸ㌱㔰愲晡㕥㐴〶㝤戹攱慡搵㈵㘴攲扥〵慥㍦攳攳ㅥ㘵ㅦ昱㈲㈴㝤㌹挵搰ㄹ㕢っ戵㘲挹㡥扣戰摢㐲㌶㘰㐹晣㕡戶慢㐸㉦昶ㄸ攱ㄷ敦㡦ㄱ㜳晣㜸晣攵㤴ㄶ挵㥣㐰ㄸ愱㐵㑡晡攱㐶㡡昷挵㡤扦昹慤㤶换ㄴㄵ㐸愰㥥戰㌱改㑣㌵㝥㌴㙥㝣㄰㕦㘵愹㌶㌹摥㈰㘰㝡㌶㙥㑣㝡㔴㡤ㅦ㠹ㅢ晦昵攰摥㘶攳㤸づ挳㤱ぢ㈴㤲っ㕢㔷㔹晦㠹㉦戴㠷搱扣㘰㔲㝦づ㤸㘱㌱㈵愷ちㅤ搷㤵〶ㅤ挴㘵㄰て摦㐸捦攱㙥ㄳ慥㠰㐰挸㠶晦慢㠴ㄳ戸昳㌴㙢〴〶㍥㠱㕥㐳戰搹搳搵ㄳ㍢ㄷ捤㜹て〵晤收〹ㅦ㘷慡摡戶㈲ㄱ㤸〳昹㜰㝦㌷㜱捡㘷㤸㡥慤晤㠸㠳㘴ㅡ敦㤰昴愶㍣㔴㘰㈵㉦摥ㄳ㘳㌶昷㜰㡢㘶昴㠷㠰ㅣ㐸㐷㐰㘶昴㠷〱挳㐰っ㙦㉢攷㐶挸晦㡡戹摦挳㡡昷ㄲ㍣〲㔰ㄶ㘴㜶搲㐱昱㔱㠰㍤戰㔲昱扦慡昰挷㙡㜲㙣搵㤳㙢㤶晦攳㉦扢㥡㜸㈰㝥㘳㤲㤶昴昷戳搷〷〰晡攰挳ㄵㄱ㈵㤶昵て愲㈴昹㘶㑡て昵收て戳攲㈳〴ㅦ〵㈸ㄷ㌸攳㉤㙦ㅤㄷ搶愳晡㝡っ㕤挵挳〴昸改ㅦ㡢㌲㝣㈸㜰㌳摥搸摤㘰收㜹㌸晥扡ㅦ昱捥搴㘷晣㜷攱戳晣㜵㉥扡て晦㔷㤲㠲戲敥昳摡ㅢ㝡ㅢ㡢㥣㐰挳㕣晤㔶戱搹捦㘳ㅣ慥慢ㄵ㐶攱㠸搴㉣㈵慤㈸㠸㜴㉥㔸戸㜸〳摦㜲㔸㔵〸㐱㐲㔰ㄵ㑥㔴㜱〴〵晡㈷搹㤴㌸㈶㥥昴㑦昱㠹愸㔵㥢昸改㈸挳〷㐱扣慡敥昷㐵摤攳ㄷㄲ搷慡挲㙡㝢㈱昱慦㉡㔶㤲㉦㝣㥣㠳㈹㘴㈱㤳㔶㑤㐴㥡愲愱捦㈳㌳搴㌷捣戹摤㡢㥦㜶㐹㔴捦搵捥㥤晢攷㜰㝥散摡晣摢摥㌲昸昸戳㍦晦挳㈷㝥昵捥挳㝦晥搷ㄳ㑦晣敡㡦㥦㜸收㕦㍦㔸㍥晣搳愷㥥晡挹摤㕦㝡收て扢捤㈷戵㙦晤㜳敥挹〷㈷㉦㍣㜸扦㜹㘶摦戱〷摦㝥摦㍤㤳ぢ㔷㡣昷昵昵昷摦㌲晡戳㙢㕥㍤昲昰晤摦ㄱ㍦晣捤搵㡥㔰换挵ぢ搲搳攰戲搵㌴扥㠰っ愶挱ㄹ扦愸搳攰㜲搵㐶㉤㐷ㅢ㌵㡤㠲ㄲㅣㅢ㥣㠰慡㌰搲ㄵ〳晦〱〰ㄸ戶㥣</t>
  </si>
  <si>
    <t>Decisioneering:7.0.0.0</t>
  </si>
  <si>
    <t>721bbdf0-98dc-46f2-a6d5-d01614a3bb8f</t>
  </si>
  <si>
    <t>CB_Block_7.0.0.0:1</t>
  </si>
  <si>
    <t>2fd5d0dd-ed98-43c4-acc2-c8d54ef51158</t>
  </si>
  <si>
    <t>㜸〱敤㕣㕢㙣㈴㔷㤹敥㔳敥㙥㜷戵敤戱㌳㥥㐹㌲㈱㈴づ㈱〴攲挱ㄹ㑦㌲㠴戰㍢っ扥㘴㉥㠹㘷散㑣㝢㈶愰㉣敡㈹㜷㥦ㅡ㔷愶慢捡愹慡昶㡣戳㤱ㄲ㐱㐲㔸㉤㈱ㄲ㝢搱㘶㤳摤愰㠰㤰㤰㔶ぢ扣㜰㤷㄰〲〹㠴㠲戴て散〳ㄲて搹〸挱〳〸㐶摡ㄷ㔶㐲㘲扦敦㔴㔵㜷㔵户扢散㜴㤲挵㔹昹㑣晡昷愹㜳慢㜳捥㝦㍤晦㝦㉡㌹㤱换攵晥㠴挴扦㑣㜹㘶㙥慣㙣昸㠱戴愷收摣㐶㐳搶〲换㜵晣愹ㄹ捦㌳㌶ㄶ㉣㍦ㄸ㐰㠳㘲搵㐲扤㕦愸晡搶㘳戲㔴㕤㤷㥥㡦㐶㠵㕣慥㔴搲㌵搴㜳㄰晥挶攲〷㥤扤㠶昳〰换㜳戳㡢㉢㡦㘰搴㑡攰㝡昲攰挴昹戰敦搱改改愹改愹㈳㠷敥㌹㍣㜵攸攰挴㕣戳ㄱ㌴㍤㜹搴㤱捤挰㌳ㅡ〷㈷㤶㥡㉢つ慢昶㠰摣㔸㜶㉦㐹攷愸㕣㌹㜴搷㡡㜱昷〷愷敦㍥㜲挴扣昷摥てづ攳搵戹㌳㜳戳㑢㥥㌴晤㌷㘹捣〲愷㝣昷扣慣㔹㕣㥢㤴㥥攵㕣㥣㥡㥢挵㝦㠹昹攳改㥥愹捡慡㤴〱㕦㉤㍤改搴愴慦愳攳㤰㍤攳晢㑤㝢㡤㥢愷摢挷戱搴㥡攱〷〵㝢㑥㌶ㅡ扡ㅤ㡦㕡戲ㄷ戱㜷つ㘳㘳搸慥㐸挷户〲㙢摤ち㌶㡡昶㌲〶慡㡦搸攷㝣㜹搶㜰㉥捡㌳㠶㉤ぢ昶㠹愶㔵捦㠷㈹㌷㜰㝢㍣㐴㜲㘲㙡昹㔳㌳扥㍤户㙡㜸㙡㐶㍥㌷㈶愳敤㜱慦㤶㙥㝢㙢敦㜱㌹㜵昵〶㡥㜹㕢敦㜶愸㌹㙦㜸慤㤶㤳扤㕢㐶㡢㑦捦攰捥摥敤ㄳ㝢㤴敥昳扥摥㝤搴㔶愶㕢㡢愱㠸扥搵㡥㘲㌱㝡㤱㘰㤰愰㐴㐰〴敡㘵㠲㈱㠲㘱〰㤱晦㙦㜰㐹戲㈳慢戴慡愱㔵㔷戴㙡㑤慢搶戵慡搴慡愶㔶扤愸㔵㔷戵慡愵㔵ㅦ搱慡㤷搰㈶㑥愵挱㐱㉤㑡て扣戴攷㍢㤵〳晦㜳晦昷扥晣愲昹搸敦晦㙤晦昰ㅥ㌴㝡㌰㥡搴扣㘷㕣〶愹戵愹ㄸㅣ挱㝦㕢㜳〵㤸挲㍣㘲摥㘳㑥㑦搷㡦ㅣ㌲敥㌲ち㕣㔶〶昲㔳㠴㌲㠶戶挳收㐳㤶㔳㜷㉦㉢摣摤㌸㙢昸戲扤㜱㤳㔱摤慣摢㜴敡晥㍢㌶慦慣〴㐶㈰㙦攸慣㙢て搲搵慤〲戶㤲扥㝡摦㑤㥤摤捥ㅢ㡤愶㥣戹㘲㠵搵敦散愸戶㤷㍣㜷愵㜷敤㜱㑦㍥摡慡敤㥡搱っ㠴摡扡ㅡ扢㙢㤵㘱㔵㌸慦㠹戹㔵搷㤷㡥㥡摥愴扤㘴搵㉥㐹慦㈲㈹ㄲ㘵㕤㉤㜵㍦慢㈲慥㥦㕣㜴戰㔰㜰㙢晤㕤挹㔲昳扥㉢〱㤸㔹搶㌱摦㌵改〵ㅢ换挶㑡㐳㕥㥢㙡ㄲ扥ㄳㄵ〷㔲挵挷摤㕡搳㥦㜳㥤挰㜳ㅢ改㥡㤹晡扡〱㐹㔳㍦敤搶㘵㍥㥦㔳㐲〱〲㜷㘰㐰㠸摣ㅤ扤㜹㐱㈱㈲㠱㘲㌲昲昵㘹戲㥢㍡㡢搵㘱ㄵつ㐹㥡搴摥扤挵㘰㥣慦㤲㌱ㄹㅣ㤸㔸ㄳ昵〷㕦晡摥㉤㠶㙤㘱敥慤㙤慣㘹攳搱敡敦㕢㤷㑥㜰搲㜰敡つ改㘵㙡㍦挱ㄹ改愳〰㠵慢㄰〸㍤㜷㡦慡㑥㕣ㄱㅢ㠵换㔶㍤㔸㉤慥㑡敢攲㙡㠰㌲㘸挸㔲㠹㕢摢㤵昴㙢㔰愴敦㈵ㄸ〷㈸㤷㜳挵㝤㙣㔴㉣㈳攵ち㤴㑥ㄹ扣㥣ㄲ攴散㤷攲攵㘱昳戸搵〸㘴㈸㤴㐷㑤㘰㈴搴㙡ち㝤㈳㈴㔱捦愸㠵ち㘳㥦㌹〷㉡㌵㉣㈷搸㘸昳㙤ㄷ㤷㠴㐴戴㉢ぢ㜶㥣㉣愰㈸㐸换㠳っ㕥〳搱㜴㐸㠳散挶〹㈲㈲ㅢ㘴㘸㜶㡣㥣㈶㌲戶捦㤰ㄱ㘸㥦㈴㐲戶㍥搴㕢㐶㤰搸扢㠹㤴㥤㝡昲攳慥㌴摢捣㤶て愵搹㝥㙣㥣㝥㉤挱㜵〴搷ㄳㅣ〰㄰扦㠲㠴愳㤴㐳㍥㥤昴㜷攰㔹扦㤱攰㥤〰㤰㑦㍡㘵㑥㈴慡㘸㐳㙤挷㡥㘴扢ㄱ搸挹捡㈸づ㐵ㄱ㉤攳㤶㥤㌹㘲㉢㐴㐷㔶攷捥搰戵㜹愵㘳摦搳㥢㌶㤳换㈱㐵㘶㌴㑤慥㜵㡢愶挹㡤㘰搳㍥昵搶捤攸慡㑦㄰摣〲㔰搶摦㐵〸攵㐲㠳㜷㝢ㄶ㍤㑤捡户㠵㔹ㄴㅡ㐳㝤㉡昸㠸㤰㜹〴挸㄰㜲㕤挷㤷㕤ㅢ㥡收攰愴昹戶户愱て昶收敦〸改ㅤ㝡㜳㔷敦搰㕦昴㍡慤攸㕢挱㕥攲ㄷ㍤㜵捣㙤愸搶摦㐳㜰㍢㐰㠷㡥攱改晢昵㝡ち㤴㔹㙣㈷㌰户㤷㕥ㄷ㘵攵㉥㙦慣㐹愵㠱㠶捤㘵挳扢㈸〳㜸㌰㑥捤挳ㄶ㜶㍤㑦㌶㜰愸慤慢〲㥥㕦慥㑢ㄷ晡挷㍤搷㘶昹慥㡤散扦㉤ㄴ㐳㍥慦つ攴㍡㙣攴っ㕢㌳攱㜳㑡㔰づ㜵昰㕤扤㠵㐴愲㔳㥡扣搸㉦晢㝣戹㉢㐹晡㤰㈴敦挳戶敡㜷〰㐰㑡㠸晦散㈹㔱づ戲搹晢㔵戳戴挵㑡て㕦挶改愴挳㠷搸㈵㐷㠶㐲㠷敤㉣晣〷晥㠸㕤戱散㤶戰ㄸ戲㤷愴㔷㠳㙦挱㙡挸㜲攸㤶愵愸搹㤵ㄵ㙦ㄳ㔹㌱㌰搰㜵㥥捥昰慦㈹㍡改㤰ㄲ㤹摣㥥㔹㤹㜱ㄶ㙦ㄳㄵ摤㤰ㄴ㉡ㄹ慥愱㤶〴㈲攵戱敤慥㠸改㐳挴摣㠹㡤搳てㄱ㑣ㄳㅣ〶㈸晣ㄴ㤲㘶扢ㅢ捦㜰搸攰㍡㕤摡搵㙡慥㐴㌴㈸ㄷ攱㉢㍤㠵搵ㄱ扥收〳〴昷〰㜴㤸㍦㜴㐰㘶㄰愲㐲㜹㠲㄰㔵ㄸ挳㍣㙦挹换愴㠱㍤㈶〲㑢㜳㑤㍦㜰㙤㐶㤶㐶捣㜹昷㡣ㅢ捣㕢晥ㅡ㈲㔱攳㘶㤴㜹㘸㔵㍡愰㉥て戶㑦㐷㤹扢戶㈶敢扡㔹㜱㥢㄰㙤愷收㜷挲挱ㅣ摢〱㕢㔲㥤捤㌵㠱搴摦昹ㄸ㐳〸散戴昲户搲ㅢ扢㉤敦㌷て㝤愳敤ㅤ㕤戶㠲㠶ㅣ㌲㐳愶㘳扥㘴㘲ㄷㄱ㌹愸て㥡换慢㥥㤴昳㈳收〹捦慡㌷㉣㐷ㄲㄹ戰㌱ㄹ慣㕢㤰ㄷㄱ㈵㔸㜲ㄹ〳㜴㥤ㄱ㜳搹㌳ㅣ㝦捤㘰㐰㜱㘳㙦敡㐹㠵㐵ち收慣攵昸㜸㡤挲㈲昳愳㘶㘵搵扤㡣㠸㙤搳㜶㑥ㄸ㙢晥㡥挰ち㠹㍥㑣ち㌵㐲ㄳ㥡㈶㑡㕡愹㕦晣昰㐰㥥换㤱昷昲〴ち㔷戹〲㝤收ㄹ摡㥢㜶㝤ㄴ愳愱㥤捥㌹つ㈳㝡搴㉡ㅣ挸㤴挲攴㔴晤㕥昶昹㄰挰晤㈷捥㥤㙡㐷收摥㔰捣扡㐰㉦㝦㠶㡣㔷㘴搱ち㠴搰㐷户㈷㈴ㄵ㤶㤱㜲挰㠱挰㌸㥦㍡挹慦㙣慡㌶愴扥㍤敤散㜱㐴㤲㠶捤〵㘳㐵㌶㄰㡦戶㡤㘰㑦昸㐰㌳搶㌶ㅡ㝥㔴㌷攷摡戶㐱搲㈲㔹㔶㙡〶㈹㜸愶ㄹ戸愷㉤㐷㌷〱ㄴ晤㐵㐵挶ㄵㄴㄹ㔷㔴搱戰㜹㤶愱㐱㤵攷㔸敥㐵挳戳㠲㔵摢慡㤵昸挰昰摤㡥愰㐹㌰㌹㈵㙦㥣㘲㤹㌱搱㘱捤㥦㠳挹收㑦〱摤㔳㤰愳摣㍡愲ㅦ㤴慢㠹㈲晥㠹㍥ㅤ㑢㄰㌰捡㔳慡晦㈵㐶㉢愸摢ㄱ㄰㌹㉡㕤㡤敦㘰㕣㝤〲㈵愱㄰㈲搶㌳㐸〴㕥挱㠴㤰愷㡢扢㘸㥥㜳慣〰搸㈳挶㡥㕢挱扣て㤴〳㈰慢㡥户㌷㈸慣㈶㍡㑤戶戴挲捤摤㔵㈹㌵㜱㔳㜷㝤㔲㙦扣㝢㤳敡㔰愳㈴ㄴ挹㔶㡤㤴㘶搹㘴㡥㍢㐹搵〸愵戸㘳㙤㈳戲摣愶敤㝤愷ㄴ㜹〳㡡㐹搱㑣㑥晦戰㈲ㄴ〴㝡㈳ㅤ㐵㥦㝤㌶㜹㈴㈲㌶戴〱捡搴㔳㘱搹㐸ㄴㄲ㍣㠵㙢㈷㜵㔹㡥㥥挰摦㝢愲散㘲㌳㐸搵ㄸ㔷挶愳㥡㤹㐶㘳搱㠱㤵㔰㌳扣晡づ㘱㘹慣㉤搴㌰㡡㍢晢搵晥攱昶㈶ㄸ㌱㘲㐳㠶㐵㌲晣挰㘰㐳㌰㔷㈲愲㑡敢㙣㠴㕢摤㉡㉥昱改戴㌴ㅣ㠵㠱㑡㔰㥦㤷敢捡っ㙢㕢昲攳慡㐳敢戴愸攴愸㙥捥慣昸㔰改〱攵㜸㤴㔳っ慥㥢㘷改㤶挲㈵〶㠸摤㈸户㔴ぢ㄰摡㙤つ挰㤳挱捥挱づ㜶㈴っ㥤搰㍡愳〴㉤㘶㄰㙥㝡ㄱ攴㥤㍥㌱ち㐱㙡慡昴扢㘳攲㥦㥦㘷晡昲戱㕣㥣㠹㤸㠸攱慥っ敢〱挸㑤㐶㈶挹㐵攳㜱挰㍣㤴㙣㑡㘸つ挷㘵㌴㌱㐶㘸昲㜹〱㙥昱㌰㤶㌵㑡戶㘹攰㥥㕢㘰㐱㥢㌶㌶昶㤸愷㥣㕡愳㔹㤷㑡ㄵ挷戲㕡㘹攴ㅤ㠱㉦㜵〵㌰攴愶㡣㝤㠹㌶攵ㄴ㡥㔲㕣㌲㤱搴扦摤慤ㅦ㐳㜷㈵攴㌰㐶愸晡ㄸ㠰捣㜰换愹㠰㔸搷㍤〵摡㠷㝢摢ㄷㄸ搴攵㌹㠸戴慥㈲捡戲〵摣挷㙢㐵㤱ㄵ户㈵㥡㉤戸ぢ㉥㙤昶㐴搱㐹㉢㉣摡ㄱ㌸挲㍡㐳㠱㔷㉣挲ㄸ改㤳㍢㌸㐸敥㙡ㄴ摤扤晡㠴㝡捣㕤〵㉡ㄴ〶〴㘳扣㍣〵攵戰慢㘰㈴ㅡ摣㕡摢敡ㄶ㡣晥搲昲搶㘷〰〴挳挰㌴㘸搱㌲㌴㜰收㤰摦摡挰戹ㄹ慤㌲㈲愴挹㘰㉡㘳㤴攳㜰搸〳㘹攰㈶ㅥ愴㤷㕤㈸愱㘰㥦扡ㄸㄶ摦㑤㥣戴㜱〴㜲扤㙢㍢ち㤷㡣〰搷㕦㥣〳ㅤ挵㌳昵㍡捤㕤昸攷㜶〴㔶㜱㜵㈳㌴㐷昷㜵㕣捡㔲㙢愲㝤㜷㙢㐷㐵㜴㔹昰昰晣搴㐹㈳愸慤㔶㠲㡤昰攲㔶扦㈴㔱昸㉥晣ㄱ㥢扥㥤㌶㜳摥攱㐵搴㜵敥㝤昹㤲攳㕥㜶搴扣ち㍥㙦晤㠱㐲㜰㠵㜲㤰㤳㉣攷晥㠴㝦㉡㘹戹挲㜷㌰攲㜶愶捤〱摡づㄲ㡥愳㔲㈸つ㈶㤰捦愰ㄳ搸敥慤㕢〳愴㤳㝤ㅤ㜴愲〴挱㉥愱㌸ㄷ摦㌴㐲ㄱ摦〶㕡㐹㉣攱㤱ㅣ㝢晥㈵戰扥昸ㄶ㑡㠸㜰㍣㐷㘲愴㜰ぢ㜲ㄹ愸㔳㠲㍣扡攲挱ぢ㈱晦㝦戰ㄴ㜳昳愶散昴㝦挰捣攲㥢㥤㈸扡㠹㈸晡㐶ㄷ㡡〴慦㠱㈸晥扤ㅦ㤹㌸ㄵㄸ㥥㝤㕤㠱㜰慥㘹昷〰晡㤶㕦昸晤㌳ㅥ㐰ㄷ㈲攲㔰㌶ㅡ㐲㙤户攱戹㘵㈲っ㜴㤹〸っ摥㉢ㄳ攱㌴㌲㠲㔱晣搰㐴㠸㝣㈰㡢㈸搸摡㐴㘰㙣㉦挳㄰㑣㠴㕡ㄳ㙥つ㥥挰慥戵改ㅦ㍢㠹㡢户搲㐷㍣ㅦ㑡换㥦㠳㐷敡扡敥攲㈵挳㌳散〳慡晣㠴㈷愱捣扣㘵摣攴㔶㕤搸攳㠶㑤㙢㔴愷㑤㝣ㄵ戱㤷㝤搷㥦戲扤晢敢挰㔴㤸㐲昷扤㈸㠹攲ㅢ昰㤴〸㥥ㅢ㜲㝦扤敦摦㑦晣搷㘳㑦ㅤ攳㙤戵㠸㔶ぢ㜷㈰摦㑦挸㥥昶〴㠲扡㠹㡢㈲晢昹㘱捥㘹㝣愲㘴慤㌵攴慣攱㈹㉢挸搷敤㌸ㅢㄲ㕥㠲㌰㐳攲摢〹㈶㈶敥㍤㠴㈶收㔴㠷扢㔳㝤搸愴㕣㠴㔳㠹㠹㉢㥦㕥ㅣ㌶ㄴ㍤ㄵ㔹㥦搶㘶攱慢㔰㐵慦㜳㈲㘹㉢㤱愷㑥㈶㈱扥搲愹敢㡥㔰搷㠵〷ㄹ㠶晤㘳㈹㠵昸〳㈹㈴㜹㤰攱㠵〰㈵愵捥㈲㔳戸ㄳ㈰㈳戲搶ㄹ攲愵㍦㘰㔷〸挸搶愵扦㍥㍦㘲挱㉥〲㡢戱㉦扥摦ㄳ㉤㙤搱㔸㌵㌱㔴慢㙣㥡ち㌲敡昰挲㠲改戸㌴㘵改ㅣ㐶改戶摤㔱㝣挹㠸ㅤ〶摥㐲挶㉥搸昴戵㤵敤晢㥣㈶㙥㝥㐰捦ㄴ㤵挲㜰昶戲ㄸ〷㔲ㄵ愳ぢ㥢㤶挳㈲挲搱㌰摢敡㌴ㄴ㔵㐱㘷㌹〷㜰㉡㐵昰㡦㕦ち戱㝥戲㍤昴晥捥ㅡ敡㌸㘷㄰ぢ攴て昶搷㑤ㄹ㡣㡤户㤲㘳㈰㘱户搵慡ㄴ㕥て㍦㠷㉥㕣㜴㑥攸敤慣㝡ㄶ㐷昰㈷收慣〱慤㑢晦㌳㝡慤㌸敢㍣㝢㌳㡣㥤搲晦ㅦ㐵挱㤶晡㕦㌰昶愶㄰昹戱㈸挳㠷〲攳㈷㕢㠶㙣戸㈳昰㙣㈳㜸愳づ挶扡捡㌲攴ㅤ收㉡昸㜸㌵慣㔶ㄲㅣ㝥慦㝣攷搵㠸㔶㕦摡戶㐳㍤〵㈰㘳㐳㠵㉦㐱〴昵散㥦㤶㕢昱改戶昸㌰㍡敥㍢㙤搵㍣搷㜷捤㘰愲㠲愰敦〴扦㍤㌳㘱昳捣㠸㉦㜶ち戵㕢戱ㄳ挳ㅦ㐷㥦㌳㡢㄰搸㘷㘴昰㘶挵㈲ㄹ㔹搸㕥㈴㠳摦㈱㡤㈵挲㑢搴づ晥㌵收㠳㑤愳㠱㑦㔷ㄷ攱敢っ㔸戴㈳㤴㕤攸㜱敥扣愱挱慤挳ㅤ慤〷攰て㤲㡤㈹〴挷搴ㄲㅥ晥㌸昷戵㜳て搲㙤愳戵昹㙣搹㥦捦慤㕣㜸ㄹ㌸摤摥㕢搲㈴挳㜷昲㡢攴戲㕥㈵挴愵晤㘳昸扢㝤〷㉤㐷ㅢ〷㥤㐷ㅦ㜴搳ㄱ㌶搹㠰晢㙣ㅢ搱敦ぢ攸㉡㘶〸昰搳㡤㈸挳〷㐱㉦ㅦ㔹㔱晣㉢㤶㐵〶㐰㍥㔷慣〱昴愶敡ㄷ㌷愳敡戱㔸㈰ぢ㥥㌱㐸㡥㘵昱〲ㅡ㜲扢挲㘵㠳㈵戸㙣愱捥ㄲ挸敢㜱て攴㜳㠲㘷〹㌵㤱㝦㐲㠷搶㐴㉣㤴昶㥥挸㍦㙥㌶ㄱ㐱㉢㐰㉤㌴㌹晥㔸慣㐵昴〶慡㜵㥢挰㈱㜰〱㐶㈹ㄶ㈹㙢㡡㘱㘸攱㕢挴っ搲㝦㐴㝦㕦㍤昶搳㔷㤸㝥㝢㑣㈸㐱㠸慡昴攴㈹〸搵攴㥦㑢㑥摥㐳㘹敦挹㍦扢搹攴挷㈸㈳㌹ㄳ㍤〰ㄸㄹ㄰㔵晣㔱㡢㘹㈲挳㝤攴㑦㕣㈰挰㉦㌵㡢㌱〳㈵慡敦㘵㘴搰㤷ㅢ慥㕡㕤㐱㈶敥㕢攰晡㌳㍥敥㔱昶ㄱ㉦㐲搲㤷㔳っ㥤戱挵㔰㉢㤶散挸ぢ扢㈳㘴〳㤶挴慦㘵㝢㡡昴㘲㥦ㄱ㝥昱㑣㡣㤸㤳㈷攳㉦愷戴㈸收〴挲〸㉤㔲搲て㌷㔲㝣㉡㙥晣戵慦户㕤愶愸㐰〲昵㠴㡤㐹㘷慡昱搳㜱攳挳昸㉡㑢戵挹昱〶〱搳慢㜱㘳搲愳㙡晣㔴摣昸㌷㠷て戴ㅡ挷㜴ㄸ㡥㕣㈰㤱㘴搸扡捡晡㑦㝣愱㍤㡡收〵㤳晡㜳挸っ㡢㈹㌹㔵攸戸愱㌴攸㌰㉥㠳㜸昸㐶㝡〱㜷㥢㜰〵〴㐲㌶晣㕦㈵㥣挲㥤愷㜹㈳㌰昰〹昴㍡㠲捤㥥慥㥥搸戹㘸㉥㝡㈸ㄸ㌴㑦昹㌸㔳搵㜷ㄴ㠹挰ㅣ挸㠷晢扢㠵㔳㍥挳㜴㙣敦㐷ㅣ㈴搳㜸㠷愴㍦攵愱〲㉢㜹昱㠹ㄸ戳戹㈷摢㌴愳㍦〱攴㐰㍡〲㌲愳㍦〹ㄸ〶㘲㜸㕢㌹㌷㐶晥㔷捣晤〹㔶㝣㤲攰㈹㠰戲㈰戳㤳づ㡡㑦〳散㠳㤵㡡晦㔵㠵㍦㔱㤷ㄳ㙢㥥㕣户晣ㅦ㝣挱搵挴㘳昱ㅢ㤳戴愴㍦挳㕥㥦〶ㄸ㠰て㔷㐴㤴㔸搶晦〶㈵挹㌷㔳㝡愸㌷晦㉤㉢㍥㐳昰㉣㐰戹挰ㄹ㙦㝢敢戸戰㍥搵搷㘷搱㔵㍣㐹㠰㥦晥㕣㤴攱㐳㠱㥢昱ㄷ扤つ㘶㥥㠷攳慦晢ㄱ敦㑣㝤挶㝦ㅦ㍥换摦攰愲〷昰㝦㈵㈹㈸敢㍥慦㝤愸扦戱挸〹㌴捣搵㙦つ㥢晤〶挶攱扡摡㘱ㄴ㡥㐸捤㔲搲㡡㠲㐸攷㠲㠵㡢㌷昰㉤㐷㔵㠵㄰㈴〴㔵攱㐴ㄵ挷㔰愰晦ㅤ㥢ㄲ挷挴㤳晥昷㝣㈲㙡搵㈶晥㐳㤴攱㠳㈰㕥㔵昷㐷愲敥昱ぢ㠹㙢㔵㘱㜵扣㤰昸㔷ㄵ慢挹ㄷ㍥捦挱ㄴ戲㤰㐹慢㈶㈲㑤搱搰ぢ挸㡣っ㡣㜲㙥て攱愷㕤ㄱ戵ぢ昵ぢㄷ晥㌰㥡㥦戸㈱晦搱㡦っ㍦晦敡㑦㕥晢摣捦晥敡攸慦晦昸攲㡢㍦晢攵攷㕥昹攳㜷㔷㡥晥攸攵㤷㝦㜸晦㑢慦扣戶搷晣扣昶昵㍦㉣㝣晥昱改㑢㡦㍦㙡㥥扢攳挴攳ㅦ㝢攴挱改愵㙢㈶〷〶〶〷㙦ㅦ晦昱昵敦ㅤ㝢昲搱㙦㡡敦晦晣㍡㐷愸攵攲〵改㘹㜰搹㙡ㅡ晦㠲っ愶挱ㄹ扦愵搳攰㜲搵㐶慤㐴ㅢ㌵㡢㠲ㄲㅣㅢ㥣㠰慡㌰搲ㄵ㐳晦ぢ㐵㌳戵愲</t>
  </si>
  <si>
    <t>㜸〱捤㕣ぢ㜸ㅣ搵㜵摥扢搲慥昶慥㈴㙢㜹㤸昰㌲㠸昷挳昶㈲㠱㘴㙣㠸戱愵㤵㘵ㅢ扦㠴㈵摢㐰愰换㐸㍢㙢㉤摥摤ㄱ扢㉢㕢愲〴㈸慦㘰㑡㈸〱㐳㜹㤳昲㝥㤸㘷愰㤴㠶㔰ㅥ㠶㠴㤲搲挷〷㑤扥〶搲㐰搳慦㉤㠱〴㐸㘹㤲敦㙢㜰晦晦捣㡣㌵扢㍢㉢㔹㠴㝥ㅦ㠳㜴㜴敥㌹攷㥥㌳攷扦㜷㘶捥扤㌳㈶愰〲㠱挰㑥ㅣ晣换愳㥥捣㠱晤攳挵㤲㤹㡢㈷慣㙣搶ㅣ㉡㘵慣㝣㌱摥㔵㈸ㄸ攳㉢㌳挵㔲ㅤっ挲挹っ昴挵㔰戲㤸㌹摦㡣㈴㌷㥢㠵㈲㡣㐲㠱㐰㈴愲㠳搰㙢攷㌷戶慢挱㕥扡㥥〴㔶〱ㅤ㈶㘹㈰㠹㤰㠸㝤㤴㕣㈳㐸㔳ㄳ挸㐰愲㝢捤攰戹㠸摥㕦戲ち收㥣搶昵㜶㡣㠵敤敤昱昶㜸㘷摢㠹挷挷摢收戴㈶㐶戳愵搱㠲戹㌰㙦㡥㤶ち㐶㜶㑥㙢摦攸㘰㌶㌳戴挲ㅣㅦ戰㌶㤹昹㠵收㘰摢〹㠳㐶挷晣昶㡥捥捥昴㠲〵昳㥢㥡攱㜹㜵愲扢慦㘰愶㡢㕦㤴捦ㄹ昴戹㈶搱ㅤ㕦㙤㤶扥㈸㥦㉤昰〹㤷㍤㔶捥挸攴扦㈰愷㈱㡥㐱㘷㡦㌹㤴攱㘰㤹㘶㈱㤳摦ㄸ挷㘹㤷〱㡤搶㠹昱慥㘲㜱㌴㌷挲㜱㑦㤸搹散㕡㌳㉤㠳㤴敢㈹㤶晡㡣㐲慥搸㤴㈳㝥㘶挱捣て㤹挵ㄹ戹㈵㘳㐳㘶搶㌱㉣㐶㜲敢㡤挲㙡㈳㘷搶㤳㘹挹搹㘳戸㍣㘵收㑢㤹搲㜸㜳㙥㕤搱㕣㙢攴㌷㥡㌴〹攵㤶㡥㘶㔲慡扥ㅥ㍦㠱扡愳晣捥㑣〶ち攷㤳㑢っㅢ㠵㤲戴㌸㠴敤㝥戶㥥改㈲㔹㤴㥤ㄷ愷㔴㙢㐵㉦㡥㔹㝦㈶户挲㉣攴捤㉣㠳㜰㈴㘷㔷ㄸ〹㐰昶㌸散㐲捡㑤㠷愳愴ㅡ㥤㡢㠵戹㌰㑡㌸〶戲㝦㑦㥦㤵㈹ㄶ慤晣㥣㤵㔶㘲戴戴戰㙤捥㕡愳㘴㉥㙣㥦搷搶愶昷㠰㕥敦㐹换扤㐰㘲慢搷慣㕦搳㥦㑣㜴慤ㅤ㔸戳愴㍦㜹晣㍣扤㌷昵㌳㐱㔴晤晢戸㌲扤晥㜹㜵〴㤳㐶㌰㌹ㄸ㑣づ〵㤳愹㘰搲っ㈶搳挱攴挶㘰㜲㌸㤸捣〴㤳攷〶㤳㥢㘰攳ㅥ㤱㠶㠶愰㜳扣㝡搱戳㉢㌶攴摦敦扡㙤搳敦捥慤㙦晦摥㈳㡡ㄷ愳㕣换㕦〱搳戶摡㉡攴㜰〱㉤换搸㘷扢捡㌴昲ぢ攷㜶㜴挴攷捤㥢㝦挲㠲捥昹ㅤぢㄶ捣㙢㙢㥦搳㕦㑡昵㤸㥢ㄷ㜶挴㍢昵扥攸愵昷〳〹敦て搲摣搷搳㤳ㅣ挲㄰ㄹ㔶昲昸づ㝤〰㤵〷㠲㈸昵㙦㐸㠱㘹慣㜹㙦挵㡦㘷敥㜳㐱敦昶ㄷ㕦㝢昷搰㈵㥦ㅥ慤㜸ㅦ㤰昸〷㠱㤹っ慦㠳改慣ㄵ㈴㝣〸㐸㈵㕥ㅤ晡㔰敡て〳㔱敡㙤㈷搸晤摢ㅥ戸㝤搹㉤敦昵㍥㌳ㅣ晣敤㈳捦㕥㝥户攲晤㐶㠲ㅤ〱愶搵㐹搶ㅤㅡ㐹戶戳捤捤慥扤㑤ㅦ㐹㤷㐷㠱㠴㡦〶㘹㕥㙢づ㜹㤲㍢㠶捡㘳㐱㤴㝡换㠹㤷㙢晥挱晢昹㈳晦㘳昵㜵昱晡ㅤ㡦㕥㜰挰愰攲慤㑤攲捤〱㌳㜵扣戹㜴ㄹ〷〹ㅦ〷搲攸挶攳㙣㘸愳慡ㅤ㐴愹㌷㥣㘸㑢㑦㕡㥡㌸散攰户ㄲ㕢㕦晥搹改攳㡦㘵㍦㔶扣㍣㈵摡〹㘰愶㡥搶㐱㤷㥤㈰攱㜹㈰㘵搹㜵敡ㄳ愹㥣て愲搴昷㥤㜸收换㡤慦㍣㝥敦㙢㑢ㅦ晡慦愷㝦㌷扥昱㤴㤳ㄴ㙦搷ㄲ敦㈴㌰搳㥦㍡㈷㌳挴㔷㐱挲ぢ㐱捡愶捥㍣㝤ち㤵㡢㐰㤴㝡挱㠹摦晣㕢昳搴㐵㜷晦攷捡扢て㕣㜸挳搸㔹搷敥慤昸愴㤰昸㕤㘰愶ㅦ扦㥢㈱ㄲ㈰攱ㅥ㤰戲昸㥤㝡〹㤵扤㈰㑡㍤敢挴晦挵㈷扦扡昴挱㌷㍥㐹㕣昳愳㘳慥㜸㜳搶㔸㠳攲㘵㈸昱㤷㠱㤹㙣敡㉥愷戳㔳㐱挲㉢㐰㉡愷㙥愷㕥㐹晤㉡㄰愵㥥㜴㠲晤㘴敢收㔹㌷㕦戶㘸挵昵㍢晦㌶㝥搰㙢㥢捥㙡㕡〳昵㘹捥㍤愶愷㘰㙣挱㕤㝢攲㠱㠰愷㈰晦㥢晡㐹㠸〷㘱扡㌳㝤㘲扡扤㍤搵搹㘶㥣㘰㠴㜸ㄷ摡摤㕢㉥敦㘸㑤改つ㤹㝣捡摡㈲昷攰〳扢㡤愲㌹㜱㑢㥥敤攸扡慤搱㝣慡㜸㠰扦戲扦㠴㍢攰晥㤵扡〹㈷㔵摤晡昱㠴㌲㡢ㄲ敦愰捡㙥敢㡤散愸搹㌵㤶戱搵戳㉡搴㜸㍥㔹㠳戵戵扤〵昳扣㕤摡慡㌳敡㐲挱戳㔹㝣㔷㘵㘹慢散昳㙡㑤っ㕢㐵㌳㉦愷㌷㍢搷㤷ㄹ摡㘴ㄶ晡㑤㤶㑢㘶㑡㔲㥤㐹㤵昳㤰㥣扤㈶㡦㐴昱搸㑢ㅤ敡㤵愶㤷㡣㤵捣㝣捡㑣攱㝣㐷捣㐲㘹㝣挰ㄸ捣㥡晢㤴㤹搸㌱愱搸慦㑣摣㙢つ㡤ㄶㄳ㔶扥㔴戰戲攵㥡慥搴㘶〳て收搴㉡㉢㘵攲戹㕡捦㈳愰〲㜵㜵㑡〵㡥昵㝢戸搱㙦㌱㉥〳攱ㄹ㘲㍥㘶昷㉤㥦㜶㜱摣㤷㑡挸㈲㙢㜲㑥〶て㥦挲㤹昸愵㥢㘳㙡ㅢ㝡㜲㘲㙤㐹敢愳㙢㕢换㌹敥ㅡ戹晦㕦攳㘰㜰㉦㈷晢㈵㥢㔱扣㉣㌳昲愹慣㔹㤸戴㌲㔶㍣㈳摤〷ㄲ㝡っ㔷㜳㑤昴昸攴㔵㘳㙡㍣戴㈵㤳㉡つ㠷㠷捤捣挶攱ㄲ㘴愸㥥㈳ㄱ㐲㕢㜵攸戵㄰改㝥㤲〱㤰㘸㌴㄰㕥㐷愳㜰㔴慦户摢㈱ㄶㄴ搳㉦㡢愴㍥㤷㌲っ㌵㜳㌱㤴敢戵ち挵扡㍡扦㉣㤷ㄹ挵攱ㄲ愷攷愴㑡ㄶ㐰㝡〳挹改㈰㈱㤶㌲㔳㔶㕤㉤㌰慡㘷㜱搹㥣敢㌱搳〶㑡㝡戹扡㤵ㄱ捡搹㔵㘲㡦㔹ㅣ搲㉣㈷㤷攳㕡ㄹぢ㠳挳挵摦㤴攳散㌷挷㑡㍤㐶挹㘸挸愱㌰挵㈸㘹ㄸ捤㤶㕥㌶挷㥥捤㈲㜳㝢㐷㥤ㄶ㍣挴㠴昵㜸㘹ㄴ㠱敤〹ㄷづ慥㤷㐰㥤㐳㈷㑦〲攷捥搲㌱㕣㌹搱换ぢ㑣搴扤愹愵㘶㝥㘰㝣〴㔵㌳捣㈳攱㐹愱慣扣扣攸㙣捤搰攰扡㔲㈶㕢㡣攳㑣㤷ㄶ慣搱㤱㉦搲て㝤改㌳㐰摣㈳㜴ㅦ㘶昱敥攷挴㤵㘳挳㘶㡥㑤㌲ㄹ㠸搰ㅢ㈵㥡㐵慥收㙣㠵戳㥤昸㈳㠷㍥ㅢ㝦愲㤳改㐲慣㠰愷㔳㡣戳㥥㙣捡〱愱㠱㠲㈹换㡢㠸㌴㠰㜶㜳㙥㠳㔵搸㌴㘸㔹㥢㌸㥦㘶㐸慢㌸㙣㥡㈵㤶散㡤捥ㄲ㐵㤶㈲㑡搵搵㤵搵摢㥥摡㥥搳㌴㙣㠰捣ㅡ戰㔲㔶戱ㄵ㍦㕤㠵昳㐶㌳㥢挱愴捣搶㠱㠲㌱㘸㘴㠷慤昰㈰㑣敡戰㤸〸て㠱㌹㍥戱愴慢晢〴㑥㔸㠳换㈹摥㤳戳搶晡㌳扢收慥㌲㑡㠵捣昹㈹戳摦捣ㄷ㌳㠳㤹㙣㈶㘵愴捣昸㔸戶㌸愶㙥〳㑥慣㤸摦昹㠷户㡥扢改挳ㅤ㠹敤㉦晤攰慤搵㥦敥㜱扡扡搵㔱㔴㤵昲慣挵㘵㔵㤱〶愳㙥㠶ㄹ敦㍦攰换て㍤㡣戶捥㤰㥣ぢ㠲扢㠸㡣ぢ㙥㈲㔹扢愹㔸捦昳㐶愲㜳㈴㜹㄰挵㔲㥥㤷戱戶㐰摣㐳㕤ぢ晦㥣ㅤ㌲挲㕣〰㔴㡦㜰ㄱ搲愸㥥㐴愷戸㐰攰㈸㙢愲慡㠹㥢㈶㘶敡ち㌸昶〵攰㜲㐷㔱戵㤶攰ㄲ㐱〰戸㠰晤㉦㠵㤹㍦〰ㄷ㌲挶㐵㈴ㄷ㠳㜸〰戸挴㙥慡㔶晣ㄵ〰㉥〵愳㉦〳㔱㠷㠲〸〰㤷㠳㜱て㜵㍥㘲散〲攰㄰㠸慢〱搸ち㘹㔴㑦愲㔳㠷挱挲て㠰㤱㕡〰㔸㡥愲㙡㝤挳〵㡢〰㜰ㅤㄸ㤵慢〹挰㌶愸昵つ㈴㌷㠲㜸〰戸挹㙥㉡㉥㝡〴㠰㥢㘹㜴ぢ㠸㍡〶㐴〰戸ㄵ㡣㝢愸㤴ㄷ〰慥㤲慡〱戸ㄳ搲愸㥥㐴愷戸㡡昲〳攰捣㕡〰㥣攱㈸慡ㄶ㕣㜳攱㐹〰㜸〰㡣摡㔰ㄳ㠰㠷愰搶て㤳㙣〷昱〰昰愸摤㔴㜱晣ㄵ〰ㅥ愳搱攳㈰㡡㑢㌰〱攰〹㌰敥愱㔶㝢〱㌸づ攲㙡〰㥥㠶㌴慡㈷搱愹㜶㔸昸〱搰㔳ぢ㠰㠴愳愸㕡〳㜶挰㤳〰昰㍣ㄸ搵㔵ㄳ㠰ㄷ愰搶㉦㤲扣〴攲〱㘰㠷摤㔴㥤昸㉢〰扣㐲愳㔷㐱ㄴ搷㠴〲挰昷挱戸㠷㥡敦〵㠰㉢挹㙡〰㕥㠷㌴慡㈷搱㈹慥㌴晤〰㠸搷〲㘰慥愳愸㕡㤴㜲㔵㈹〰扣〹㐶捤慥〹挰㍦㐳慤㝦㐴昲㘳㄰て〰晦㘲㌷ㄵ㔷愶〲挰㑦㘸昴㌶㠸攲愲㔴〰㜸〷㡣㝢愸㐳扤〰㜰㈹㕢つ挰扢㤰㐶昵㈴㍡戵〸ㄶ㝥〰散㕢ぢ㠰慦㌸㡡慡㔵㜱㌷㍣〹〰敦㠳㔱㌳㙢〲昰〱搴晡㐳㤲㕦㠲㜸〰昸挸㙥慡〴晥ち〰ㅦ搳攸ㄳ㄰挵㔵戱〰昰㙢㌰敥愱㥡扣〰㜰㉤㕤つ挰㙦㈰㡤敡㐹㜴㡡㙢㙤㍦〰㠲戵〰㔰㡥愲㙡㔹捥搵戶〰挰挲㐳敤晣慣搶㔳㈰〸戵慥㈳攱㙥户〷㠰戰摤㔴愷挲㤱〰搰㐰愳〸㠸㕡〹㤱〰愰搱㜲て昵㍦㠸戱敢㈹挰㈵㝥㌵〰捤昴愹㈷搱愹㔵攸攷〷挰〷㜰敥晢ㄸ晣㠵愳愸摣㉡〸㜱改㌱㡤㈵㕥㈳㑦㌸扤㍥㘳㙥㘱㑤㍡㈳㡤扤搹挴㘸戱㘴㐹〱摤㥣敥戱㔶㕢愵㥥㑣㜱㈴㙢㡣敦㤵㜶㤸つ挳㘶ㅥ换摢〲㔶戹ㄵ㌲㙢㘴挴㑣改㜴扦㌵㕡ㄸ㌲㤷昷㝣ㄹ㤶扦挸て㐳㈷㉢摦愰挲昱昹㔶㜴搸㥣㔱㠱昰㍥ㄸ挷愶㠱搱㤴ㄵ㜷㜶㜶愳㌸〲愱戵㠸㔰㔹愹换㤶戱㘷㔵㉤㙣っ㠶㉤ㄳ㄰て㘴㑡㔹戳㌱㉤㉢㕡攱㈳㘹挰㡡㑤㠴㔴㐳㝡㘰ㄸㄵ㙣㑦㜳㝡㘹㈱㤳捡㘶昲㈶㐷㘷㙦摢㜴愵戹ㄱㅢ〶㝤㔶㌱挳㜲戲㌹㡤慡㌳㕦ㅣ攱摡㘷㘸㝣捦戲㤶㉣㤲㐲改敥㑣扥㠸㌰㌲慣攴㕢搲晤挳搶ㄶ扣搸ㄹ捤攵㤷ㅡ㈳挵㉦挵㌰㑤㕣㔲㌲㔶㉡愸㠲㐱ㄵ〹㐶㍥敦㠰㠵扦〲㡦晢㘰挶愲挶ㅥㅣ捤扣㝣晦换㜷㕢慤捥戰㜱㑡〴㡥挷㙦㍤〹慥㝥㡥㈲㔷搶㤵ぢㅤ捦㈸㔶散㔲昰㜴换摥㠱昸㉥㤸㜷扤㌰㙢㠶戹摥㤷搳㘷㍦㤰㔳㤷慥㕢㍥戱㝦昷〷扤捤ちつ挰昳㙥㙦㤷昰ㄶ㌳挳㥥㐵摣㐲攱愴挲搵㡡挹挰㔶攵捣㡣愶挵㠶㤳㜴挶〴摢㡢ㄵ㜷㔳㝡愵㌱㘸㘶戱㔱㤰㌳㑡㌳散〶㜷㙣昰昶愰攸攸ㄲ㔶㉥㘷㜰搶昱㥤㑤晦㤰㤱㌵㈳改慥搱㤲戵㉡㤳搷㘹㄰㤹㥡㡥挸ㄸ㠳挸ㄸㄳ㔱㔳㝡㉤㌷㄰㠵愷㉦㙢愳㔱挸㤴㠶㜳㤹愱〸ㅢ摣攴晢㔲㑣㔷摣㔳敡〱愶㝢戸昷㤷捡㍤〲㝢愵㡥攱㡥㘳㕢㡤搰㜱昸㌱愹㠳㉡㡣晦搴攷摣㕦挲摤㐸ㅥ㌲晡〰㜸ぢ〵㜱ㄲ扣㍤挹昱㤱晢ㄶ昷愳㡢㈰㤱㤹慤搶搳〰扦晡㐰㔰㌲晣慤攷づ捤愴㥢て㝣㝦ㄱ㕤㘹ㄹ愹㕥㘳〸敦㕦ㅢ㥣户慦ㄱっ㉤敦㌶㠵ㄸ户㠳ㄲ㔸捤㘲攷㜲㜳㈶㘵ㄶ㈲ㄴ昴攳㙤㜰㍤㌷㤲挲昶ㄸ㘲㈱㕣ㄷ〸㠵ㅡ㈳㝥戱㤶扢扥づ㜷ㄶ搹摥户捤换慢晣㝦㜰摡㝣㤶㑡㐸慢づ㔴捦㐲ㅥ晡㈰收㜴㍡㥡捣愷挲攰㘰ㅡ戴㠲㠴戸愵㔱㌹㌶攵㍢㌳搸扦搱㌰慡㤷昷㤶摣㌳㡡㘰㝦㐵㌶㥢㐲㤲㐸愳㘷㤳㈸㙣敦て㐵摣㤷愱攱㝥捣㜲㌳ㄵ戵㙦戱摣㡣攲㜰〴㠳昵ㄸ敡㜰攵〶㝢㔵㔸㌸换昵㥢戲㝢愴㘶攰ㄴ挲㠷愰昳晥扣㔸攰㍦㔹昱㙡戰つ慦㠳搶挱〸昵捦㑥晣㤱㈳ㅡ搵㠷愱㑢㈰慡戸愳攲攲㄰愶㈴捡㐱搴㠷㐳慢㡦〰㔱㘹㌴㔹㈱搸捦戳㈳㈱㙡㤴攷㤹晤㌶捣㥥㉥摣㈱攰㈳㉤㄰㍥ち晡㤹ㄵ户㔰摢㤲敡捡㍢愸捡㐰挶扢愸㍥㥡愱捥〵挷㥢搳慥挹㝡㉣愴㔳㑦㔶㙥㐳挰㌰愰㘷搳㠹搳㔰㌹㌰㙥㘲㘰摤ㄹ㌰〷〶㝡㉥つ昳晥〶㜱ㅡㅣ㐷〳㙥㕤㜰ㄶ㠴摢搰㍡搶㐵ㄷ〳㡤㥤㌸愳搸㍡㘴攵㕡晢晡㝡㕡㐷慣㐲㙢〲户㉣㍥㉤㕥㝡愶戵扤搳て敤攳攱〲㘸㜳㜷挳㍤㈹て摡㈷㌰㘶〷㘳㜲㈷㘲〲敤㑥㠸慡慢〷挵晤〸ㅢ敥㜹㌰㤸挶ㄳ㑢㕤㠴㥥㠲昷㠹っ㜶㌱㕡㘵㜸㉦㠰㜴㙡扣㉦㐱㌷ㄸ〶昴㐹㜴攲㌴ㄴ户㍥摣搴挰扡㜸㥦っ〳晤㔵ㅡ㕥收㙦戰㤰〶愷搰㠰㍢㈵㠲昷㈲戴㙡捦收づ㍦㝣扢搰〵昸㙥昵挴昰攰摢捤ㄸ〹挶戸づ〶ㄳ昸昶㐰㔴㍤㥢户挱挶㠶㜷〹昴搳㤸捤㌷愰愳愰摢换㔰㌷愲㔵㠶敥㌲㐸愷㐶㤷㕢㉡㌰っ攸攵㜴攲㌴ㄴ昷㔵㝣搰㍤ㄵ〶㝡〵つ戹攷攲㘳戰㤲〶慢㘸挰㙤ㄸ㐱㜷㌵㕡㜳摣搹㡣㜷㌳㘶愶㘴戴昶㘶昲㝣晤㤳㈹ㄸ扢㌷㥦晢攰〴㜸摦改㠹敡挱晢㌴㐶㕤换愸摣㔷㤹挰扢ㅦ愲㙡扣戹戹㘲攳㍤〰晤㌴昰㝥ㄸㅤ〵敦㜵っ挵㥤㤹㌲扣㌷㐰㍡㌵摥㡦愲ㅢっ昱敡㠱㑥㥣㠶攲㌶㡥て㥣㘷挰㐰㥦㐹挳挷晤つ扥㐶㠳戳㘸昰〴っ〴敦戳搱㥡づ摥㈷晡捤敦㈴㥣〰敦愷㍤㔱㍤㜸㥦挳愸〶愳㜲ㅢ㘷〲敦㐱㠸慡昱㝥〱㌶㌶摥㐳搰㑦〳敦ㄷ搱㔱昰㑥㌱ㄴ㌷㠲捡昰㑥㐳㍡㌵摥㍢搰つ㠶〱扤㤱㑥㥣㠶攲慥㤱て摥挳㌰搰ㄹㅡ扥敡㙦㜰㉥つ㌶搱㠰㥢㑣㠲㜷ㄶ慤改攰敤晢㜴捣挳〹昰㝥摤ㄳ搵㠳户挵愸㈳㡣晡㈶っ㈶昰㍥て愲㙡扣戹㜵㘴攳㕤㠰㝥ㅡ㜸晦〸ㅤ〵敦㈲㐳㜱摦愹っ敦㔱㐸愷挶㥢晢㔳㌰っ攸捤㜴攲㌴ㄴ㌷愹㝣昰摥〲〳㍤㐶㐳㙥㘰昹ㄸ㡣搳攰㝣ㅡ㜰㑦㑢昰晥㘳戴㜶晦改攸㍢扢扦づㄷ㐰晢㕤㑦㑣て摡ㄷ㐲慢㔹㥢㉡㙥㔱㑤愰㝤㌱㐴搵㘸㜳㥦捡㐶晢㑦愰㥦〶摡摣摢ㄲ戴㉦㘱㈸㙥㜲㤵愱㝤ㄹ愴㔳愳晤ㄱ扡挱㌰愰㉦愷ㄳ愷愱戸㈳收〳收ㄵ㌰搰摦愰攱㈷晥〶㔷搲㘰㉢つ㝥つ〳㐱晢㉡戴㜶ㅦ㙤摦戹㝤㌵㕣〰敤摦㜸㘲㝡搰晥㈶㘳㕥挳㤸㍣晦〹戴晦っ㉤㥦㕡㠴扢㘲㌶摣搷㠲㥢㑥㉤挲慤㌴挱晢㕢㘰㔴㍤㐸ㄹ摥搷㐳㌰㌵摥㘱昶㐵㈲㝡㥢挳戰愱戸〱攷㠳昷つ㄰敢ㅢ㘹ㄸ昱㌷昸㜳ㅡ摣㐴〳敥搷〹摥㌷㠳愹㕤㡢昸搶㝡户愲ぢ昰攵ㄶ㥥㝢ㄲㅥ㝣㙦㠳㔸摦づ愲戸戸挷㑦㐰摦攱㌰㕣愲㠴づ㐰愳㜲摤㔱戵㈶攴㐲㌲㥡收敡戰扦㌴㥥挵㡡㥣㉣搷㈱㌶挷ㄵ㤵慤挶敡挸㉡〰摢晡捡捦ち㜶昵㕤〳㔷㡤㝢㔷㝣戲㈱摤愸搹て㘷ㄳ㌲戰㜳㔸戳㍦㌳㤸㜸㝦换㍥㍣挲摦㠶㝣敦㔵㤹愱㠲㔵戴搲愵搶㝥㙣㌸戵昲ㄳ㤸㌴㍥扤敡ち㈵攱搱㌷㈶ㄳ慢捦昳㉢捦捤㝣㈵ㅣ摤㤴户戶攴攵㙣㐲㐵㝥〹挴㘸扡愱㠱㘱愲昸㤵攳㌰愰ㄸ攳㐲㤵㥤昵㕤㘰㥡敢㘲戳㘸㠹㈳挶搵㥥㌰㕣摡〹搳敡㌰㈱㉥㠱㜶㜷慤㐵摦㙡㔰つ愹㤴㌲敢ㅢㅡ搴ㄱㄵ摦㥢㔴慤搱㜶扤戰て㠷戹㐴ぢ㥤㡤㤴㜷慦ㄳ㑦㙦〲㔱㜶摥ㄳ扦晡ㅥ挸昵扤㈰搱搸攱愰㍣愱昰㝤㘰昶㑣㜴㈷昱攲搸晢戲㍡㝣㍦攴㑤㤰换㍡ㄴ㕦攲ㄶ挳て㐰戲〷㈴攵㕦搶㠶ㅦ㠴㜸〶挴㥥扤慡搸ㄱ㤰〹㤴㐳っ㉢戱户㐳㈴㕦愰慡愳挱攱㈷愰ㅦ㜵ㄸ㑥㕡挵㠵ㅡ㈷慥㍡つ㔹㜲扡㐰ㄸ搰㥣〳ㅣ㙥戵〶ㄲづ㜹昹㤰㜱戹㈶㜱㥥〴㠳㈱㥢㈳收ㄸ㌲㉥捦㜸挴攲㉥挳昵ㄸて挵㜵ㄴ㠷㑤慤㠲㍢㐲捡昰晡㈹㐸昴搳㈰搱ㄸ㤷㔲攲㤴搰㘸攲愰㤹扡㘶愲㌱㉥戱㈶㌲摢㡦㕤㥦愳㜲㕦扡㤶㈵ㄱ㐵捦㐳㠴ㅦ昹㔶㑦㉤〰㈷㤹㜵㈱㔸㜵㘶㡢㈰慤捥㡣ぢ㈳㠹昳ㄲㄸ㘴㜶㌲摤攱㠸㝤搵㘵ㄶ扡捣㈹づ愳戸㠲㤱捣ㄶ㍡㤹〹昰㍢㈰搵慦㠰㐴㘳摤愰㌵㌳㑢戸㑡ㄹ戳㔶挴搲㍦㘴搷㠳挱愹㕥㜰昸〹攸㌷ㅣ㐶挶㙣ㄹㅡ㤲㔹扢㙦㘶挷昹㘶戶ㅣ㥤攴㈴晥〹っ㌲攳〲㠴㐷㡣㡢㄰㘱㔶扡っ㔷ㅤ㍣ㄴ搷ち㤲搹㕣㈷㌳ㄹ戳㌷㈱搵㙦㠱㐴㘳㕣㉥搴捣㙣慤慢㤴捣㡥㠲㐳晤㌶扢ㅥ㐹搷敢挰攱㈷愰㝦敡㌰㤲ㄹぢ㝦挹散㄰摦捣づ昶捤㡣攵扦㥣挴㝢㘰㤰搹ㄹ昸挳㈳挶㜲㕦㤸慦戹捣㔹づ愳㔸㤵㑢㘶戳扣㤹晤ㅣ㔲晤敦㈰搱搸㌹愰㌵㌳㘳挱㉥㑡挹㉣㡥ㄸ晡〳㜶㥤ぢづ户ㄹ㈷戳㕦㍡㡣㘴㤶㐶㐳㌲摢挳㌷戳ㄶ摦捣㌶愲㤳挴昹〴っ㌲ㅢ挶ㅦㅥ戱㡣换戰㡡ㄶ〹㉢㘹ㅥ㉡て㐶㌲㙢昶㘶昶摦㤰敡㑦㐱愲㌱㤶挰㌵㌳㘳㘹㍣㤱㔹㈷ㅣ敡晦㘵搷づ扡㤶㘲㤶愲捦㈰挲㡦㝤㥤㡤㠲㤳捣㤴㙦㘶㍢㝦敦㜷㥤戱愴㤵㌸㐱散㘸㈲㌳㤶慦㍣㘲㉣㘱㠵ㄹ㜷ㄹ搶慣㍣ㄴ㙢㑤挹散昷㜰戹敢づ㔲て〷㥡攵㐶㌴㜶㈱っ㙡㘶挶㌲㜴㈲㌳扥昳搵㑤散捡搷挸敡ㄲ㈸昱ㄳ搰㌳㈰㈲㈳㘳㜶ㄹ㌸挹散㘳〴慣扥㠳晣捡㌷戳换搱㐹攲散〹㔷挸散ち扡挳ㄱ晢㠶换㕣改㌲㕢ㅤ㐶㕤つ㐶㌲晢搰㥢搹摥㍣扤㤹㈰搱ㄸ㑢扢㥡㤹㕤攳㉡㘵㌶㈶㄰㑢ㅦ挸慥摤攰㤴㤴㘸ㄴㅤ〴ㄱ攳㐹㘶㉣搱㈴戳㜷㝤㌳晢㔷摦捣戶戹㜱づ㠵㉢㘴㜶〳摤攱㠸戱㌰ㄳ㠶㔵㤸㌰慣挴㜸愸㕢挱㐸㘶敦㌸㤹挹扤昱㜰㥥摥ㄱ㈰搱搸㙤㌰愸㤹ㄹ㡢慤㠹㌱㍢ㄵづ昵ㅣ㜶攵㡢摦搸ㅤ慥㌲㉥愷ㄳ扡ぢ敤㤳㉢㥥敤晥敦㜴㘶㔷㝥㠶扢〴㥦搵㡥挳㑢愰づ㥢搹昶ㄶ㜰㝤昰愴捦攷㡢搵〳摦〰昱㌷昴㡦挸晡て昰㠳㡣㍣昵〴㍤昲愹愰摢㜰慡㉤昷㌸改戳㐰昵ㅣㅦ㉤㜲ㅡ㡢敤扦㤱挵㉤昷扡㤶㘷慢㐳慥敢ち晤散㈲搷晣捥㡦ㅦ㍡昹㠸摢ㅦ㜳摡㌷㉦㔶摢㘱㌹ㄳ㕡㙤㤰っ㤲㜰㑥愹ㅦ㈲つ摦㌷搳慦㍢㡡捡㉦搴㘲㡦㍡㌱昵㍣ㄹㅣ昵㈴摡ㅣ㈰昵ㅡ㝡㄰ㄵ㐹㘴㍥ㄳ㜹ち攲㄰愲㑣㤹〸㙣㜰挴ㄶ户㍣敤昶㜰ㄳ㜲ㄲ搹㘹㕢〴〲㜳攳慦㝥昶捤㜵扤㉦搸敤㍤ㄷ慢攷搰挳㉦戱ㅤ戵ㄲ㝢搹㔱㔴㝥㜹ㄶ㝢ㅥ㥥㘴㑡㥥㘲㈷昶ㄲ摡㤲搸㡢摥挴ㄶ㌳戱ㅤ㡥改㤴㠹戵戰㑣愰搳戰㥢㤰㝤攲㠱㐰搵〸晤㄰㤶㝥㠹㍣㔷㉢㤱敦㍡㡡捡㉦挸㘲㙦㌸㌱㜵慦㥤〸换〲㐹攴㔹㙦㈲换㤸〸ㅦ昸搳ㅢ愱户摣ㅥ㤳㈷戴㝣戱㥤攸攱㡢搵摢攸攱㤷搸㔳戵ㄲ晢㡥愳愸晣㌲㉣昶㔳㜸㤲ㄱ㕡㙤㈷昶ㅥ摡㤲搸ㄳ摥挴晡㤸搸捦摤搳㜴昱戶晦㔶㕦㐳戶ㅣ㔳㡦挵㠱㐰戱摢㠹戱㌰昰㑢㙣㝢慤挴ㅥ㜶ㄴ㤵㕦㝣挵㝥〹㑦㤲搸㝡㍢㌱ㄶ〵㤲搸㠳摥挴㑥㘷㘲㝣摣㑦㙦挴㍥㜵㝢散㜶㘲慣ぢ晣ㄲ扢愷㔶㘲㜷㍢㡡捡㉦戹㘲㥦挱㤳㈴昶㐷㜶㘲慣〹㈴戱扦昰㈶㜶づㄳ攳搳㝥㝡㠹戱㌴㈸ㅢ戱㈹㙦ㄶ㉣ぢ晣ㄲ扢慤㔶㘲户㍡㡡捡㉦戴㘲慣㈶㈴戱㌴㤸收㍡挵㤲㐰ㄲ扢搹㥢搸㌰愴㉤㝣搸㑦㉦㌱㔶〶搳㑢㡣㔵㠱㕦㘲摢㙡㈵㜶扤愳愸晣昲㉡挶㘲㐲ㄲ换㠳㐱㘲慣〸㈴戱㙦㜹ㄳㅢ㠱戴㠵捦㝡㥡㑥㝤ㄷ㘴㐱㈰㤶㤳㑦㐱㍣愷㔸〴昸㈵㜲㜵慤㐴晥搴㔱㔴㝤㐱挵摡㘱慡㉦愸㍣晦㉥愹〵㠹㠴搲摣慥㘹㑣摢㘲㍥敥戱㘱㤳挹㘶㘵慦愳〹ㅦ㌷ㄴ昰㉦㠳㔶攲㌳ㅥ㝣搲㠰㝦㙤敡㉣摢昱㜹て摦ㄵ扢慦捦戵戴搸㌹㥣㕥㔳挰晢昴㠶昴昲㈲扥挷㑡㐵昰㉦ㅢ㑡㈵晣ぢ搵㉦挳㤷て搸㝤攲〵㠷挳晥收挱㜷攳㠷㍢㍡㤳㝣㤴㌲㠱㠷晢て㝥㠲晣㈶攲昳㝤㥡ㄵ摥㡣搳搹挷昹戲愷㌵㔵昶挱㑦㔰㙤挵㈸摢㑢晡㡢〳㑥㉤㄰挴愶㌸扡㐸㉤㈳攵㉦㐸㔴㥦㑦搱㍡㥣户㤰㐰㠸〵㔵㘵㙥摣㠹攳愳㌱㔰昱慦㜶ㅡㅢ摤㥤㌲攸〲㡡昵つ㈷㔱昸〲㤰㤹昶ぢ昳㡡ㄳ慢㔷㤷晡㥥搸㠵攸㔱㜱㘲ㄷ㔳㌴㜱㘲㡡〵ㄲ㑦捥㍤ㄴ慢づ〹㜷〹㤸㥡㐰㝣摤㌷摥㘵攸㔲ㄱ敦ち㡡㍣昱㔸户㤴挵㈳〲ㄲ敦㑡㌰戵搲摢攲ㅢ敥㉡晡ㅥ攴㤹攳昶㑥ㄲ搵㔷㔳攴〹挷敡愲㉣摣㙡〸㈴摣㌵㘰㙡㠵㍢捦㌷摣戵昴㍤㔸ㄶ敥㍡㡡㍣攱晡搰㉥ぢ挷〷愹㠴摢〶愶㔶戸㑤扥攱㙥愴敦挱戲㜰㌷㔱攴〹挷㈷㜱㔹㌸㍥摥㈴摣㉤㘰㙡㠵㌳㝤挳摤㐶摦㠳㘵攱敥愰挸ㄳ㡥捦挷戲㜰㝣攸㐸戸㙦㠳愹ㄵ㉥改ㅢ敥㉥晡ㅥ㉣ぢ㜷て㐵㥥㜰㝣㙡㤵㠵换㐳㈰攱敥〳㔳㜳㙡㥥攱ㅢ敦〱㍡ㅦ㉣㡢昷㄰㐵㥥㜸㈳㘸㝢攳㠵㜸㕤敦昶㝤㠷㔳㜰㉦摣愱㥤晦扤〵㍦㉤㥢㥤攵晦摣挲敦㑢愵昲㉦昹戶㈳㡥攲ㅤ㠳㍥昴㈳づ挳㠶攲ㄵ捣搳搰㡦㔲捡㡢㔷㙣ㅥ㜳ㄸ戱攱㔵㈷㌶㡦㔳捡ぢ㑥㙣㥥昰摡㕣攵摡㍣㐹㈹慦ㄲ戱昹㡥搷收㕡搷收㈹㑡㌹戵挵收㘹慦つ㈷愵挴晡㑢㑡㙦㜲㙤㥥昱摡㜰㈶㠹捤㕦㔱捡㐹㈴㝥㥥昵摡㜰昸挵收慦㈹攵挸㡢捤㜷扤㌶ㅣ㌲戱㜹㡥㔲㡥㤶搸㝣捦㙢㈳搰ㄱ戵攷㈱㜵㡦ㄸ㈱㤴攲攱㙦挰愰㜸㄰昰慡慣〸愲㔸扤㘸㕢〹㝣㔵㔶㠴㔱慣㕥戶慤〴挰㉡㉢〲㈹㔶慦搸㔶〲㘱㤵ㄵ愱ㄴ慢敦摢㔶〲㘲㤵ㄵ挱ㄴ慢搷㙣㉢㠱戱捡㡡㜰㡡搵敢戶㤵〰㔹㘵㐵㐰挵敡敦㙣㉢㠱戲捡㡡㤰㡡搵摦㡢㔵捣〵㔳ㄱ㍦愹扡摡㜰㔱㜱㔱摤㡤扥ㄱ扣晤㈳㘴愲㌸慥㐲㐱㤴㐴ㄱ慦㔰㄰ㄸ㔱捣慤㔰㄰ぢ㔱捣愹㔰㌰㝤㔱捣慥㔰㌰㘳㔱ㅣ㕢愱㘰㤲愲㌸愶㐲挱扣㐴㜱㜴戹愲昱晦〰㑦㤸㈳㍤</t>
  </si>
  <si>
    <t>2f2aa0ed-12a4-4992-81dd-da990bbbf91a</t>
  </si>
  <si>
    <t>㜸〱敤㕣㕢㙣ㅣ搷㜹摥㌳摣㕤敥㉣㐹㤱ㄶ改㡢ㅣ挷㘶散㌸扥㔰愵㐵搹慡攳戴慡捡㡢㈵搱愱㐴㕡愴攴〴慥戱ㅡ敥㥥ㄱ挷摡㤹愱㘷㘶㈹搱㌵㘰㈳戵㥢ㄶ㙤㉥㜰㥢㈰㑥㥣㌴㜰㡢〰㝤㐹㕡〴昰㈵昱㑢㤲〲つち〷攸㠳昳㄰愰て慥㔱㌴〸ㄲ〴〲昲攲〷〳挹昷㥤㤹搹㥤搹攵づ改戵㥤搲〵㡦扣㍦捦㥣摢㥣㜳晥敢昹晦㌳捥㠹㕣㉥昷㕢㈴晥㘵捡㌳㜳挳昲愶ㅦ㐸㝢㜲搶慤搷㘵㌵戰㕣挷㥦㥣昶㍣㘳㜳挱昲㠳㍥㌴㈸㔶㉣搴晢㠵㡡㙦㍤㉥㑢㤵つ改昹㘸㔴挸攵㑡㈵㕤㐳㍤〷攱㙦㈴㝥搰搹㙢㌰て戰㌲㍢戳戸晡㈸㐶㕤づ㕣㑦ㅥㅣ㍦ㄷ昶㍤㍡㌵㌵㌹㌵㜹攴搰扤㠷㈷てㅤㅣ㥦㙤搴㠳㠶㈷㡦㍡戲ㄱ㜸㐶晤攰昸㔲㘳戵㙥㔵㍦㈹㌷㔷摣㡢搲㌹㉡㔷て摤扤㙡摣昳昱愹㝢㡥ㅣ㌱敦扢敦攳㠳㜸㜵敥昴散捣㤲㈷㑤晦㍤ㅡ戳挰㈹摦㌳㈷慢ㄶ搷㈶愵㘷㌹ㄷ㈶㘷㘷昰㕦㘲晥㜸扡㜷㜲㜹㑤捡㠰慦㤶㥥㜴慡搲搷搱㜱挰㥥昶晤㠶扤捥捤搳敤攳㔸㙡搵昰㠳㠲㍤㉢敢㜵摤㡥㐷㉤搹㡢搸扢扡戱㌹㘸㉦㑢挷户〲㙢挳ち㌶㡢昶ち〶慡つ搹㘷㝤㜹挶㜰㉥挸搳㠶㉤ぢ昶㠹㠶㔵换㠷㈹搷㜷㕢㍣㐴㜲㘲㙡昹㤳搳扥㍤扢㘶㜸㙡㐶㍥㌷㈶愳敤㜱慦㥡㙥㝢㑢昷㜱㌹㜵昵〶㡥㜹㙢昷㜶愸㌹㘷㜸捤㤶ㄳ摤㕢㐶㡢㑦捦攰慥敥敤ㄳ㝢㤴敥㜳㐷昷㍥㙡㉢搳慤挵㐰㐴摦㙡㐷戱ㄸ扤㐸搰㑦㔰㈲㈰〲昵㌲挱〰挱㈰㠰挸晦〶㕣㤲散挸㉡慤㘲㘸㤵㔵慤㔲搵㉡㌵慤㈲戵㡡愹㔵㉥㘸㤵㌵慤㘲㘹㤵㐷戵捡㐵戴㠹㔳愹扦㕦㡢搲㑢㕦ㅣ㜰㝦昱昲て㑦㍤昳摤㌳㍦ㅥ扢捤㤸ㅦ摣㠷㐶て㐶㤳㥡昳㡣㑢㈰戵ㄶㄵ㠳㈳昸㙦㝢慥〰㔳㤸㐷捣㝢捤愹愹摡㤱㐳挶摤㐶㠱换捡㐰㝥㡡㔰㐶搰㜶搰㝣挸㜲㙡敥㈵㠵扢ㅢ㘶っ㕦戶㌶㙥㈲慡㥢㜱ㅢ㑥捤晦搰搶㤵换㠱ㄱ挸敢摢敢㕡㠳㜴㜴㕢〶㕢㐹㕦扤敦挶昶㙥攷㡣㝡㐳㑥㕦戶挲敡て户㔵摢㑢㥥扢摡扤昶戸㈷ㅦ㙢搶㜶捣㘸ㅡ㐲㙤㐳㡤摤戱捡戰㉡㥣搷昸散㥡敢㑢㐷㑤㙦挲㕥戲慡ㄷ愵户㉣㈹ㄲ㘵㑤㉤昵㙡㔶㐵㕣㍦戱攸㘰愱攰搶摡捤挹㔲昳晥换〱㤸㔹搶㌰摦㜵改〵㥢㉢挶㙡㕤㕥㤳㙡ㄲ扥ㄳㄵ〷㔲挵挷摤㙡挳㥦㜵㥤挰㜳敢改㥡改摡㠶〱㐹㔳㍢攵搶㘴㍥㥦㔳㐲〱〲户慦㑦㠸摣㥤摤㜹㐱㈱㈲㠱㘲㌲昲㜵㘹戲㥢㍣㠳搵㘱ㄵ㜵㐹㥡搴㍥扡捤㘰㥣慦㤲㌱ㄹㅣ㤸㔸ㄳ昵〷㕦㝡晢㌶挳㌶㌱昷晥㌶搶戴搱㘸昵昷㙦㐸㈷㌸㘹㌸戵扡昴㌲戵㥦攰㡣昴㘱㠰挲ㄵ〸㠴慥扢㐷㔵㈷㉥㡢捤挲㈵慢ㄶ慣ㄵ搷愴㜵㘱㉤㐰ㄹ㌴㘴愹挴慤敤㐸晡㔵㈸搲昷ㄳ㡣〲㤴换戹攲ㄸㅢㄵ换㐸戹〲愵㔳〶㉦愷〴㌹晢愵㜸㜹搰㍣㙥搵〳ㄹち攵㘱ㄳㄸ〹戵㥡㐲摦㄰㐹搴㌳慡愱挲ㄸ㌳㘷㐱愵㠶攵〴㥢㉤扥敤攰㤲㤰㠸昶㘴挱慥㤳〵ㄴ〵㘹㜹㤰挱㙢㈰㥡㌶㘹㤰摤㌸㐱㐴㘴㠳っ捤㡥㤱搳㐴挶昶ㄹ㌲〲敤㤳㐴挸搶㠷扡换〸ㄲ㝢㈷㤱戲㔳㔷㝥摣㤳㘶㕢搹昲愱㌴扢ㅡㅢ愷㕦㐳㜰㉤挱㜵〴〷〰挴晦㐲挲㔱捡㈱㥦㑥晡㠷昰慣摦㐰昰㘱〰挸㈷㥤㌲㈷ㄲ㔵戴愱㜶㘲㐷戲摤㄰散㘴㘵ㄴ㠷愲㠸㤶㜱搳捥ㅣ戲ㄵ愲㈳慢㜳㜷攸摡扣搲戱ㅦ敢㑥㥢挹攵㤰㈲㌳㥡㈶搷扡㑤搳攴㐶戰㘹㡦㝡敢㈶㜴搵挷〹㍥〲㔰搶㙦㈶㠴㜲愱挱扢㌳㡢㥥㈶攵〷挲㉣ち㡤愱ㅥㄵ㝣㐴挸㍣〲㘴〸戹㡥攳换㥥つ㑤㜳㜰挲晣挰摢搰〷扢昳㜷㠴昴㌶扤戹愷㜷攸㉦㝡㠷㔶昴㉤㘰㉦昱㕦㕤㜵捣慤愸搶㍦㐶㜰ㅢ㐰㥢㡥攱改晢㥤㝡ち㤴㔹㙣㈷㌰户㥦㕥ㄷ㘵攵慥㙣慥㑢愵㠱〶捤ㄵ挳扢㈰〳㜸㌰收攷㘰ぢ扢㥥㈷敢㌸搴搶㔴〱捦㉦搷愶ぢ晤攳㥥㙢戳㝣捦㐶昶㍦㄰㡡㈱㥦搷晡㜲㙤㌶㜲㠶慤㤹昰㌹㈵㈸㠷㍡昸敥敥㐲㈲搱㈹㑤㕥散㤷㝤扥摣㤳㈴㍤㐸㤲㍢戰慤晡㥤〰㤰ㄲ攲愷㕤㈵捡㐱㌶晢〳搵㉣㙤戱搲挳㤷㜱㍡㘹昳㈱㜶挸㤱㠱搰㘱㍢〳晦㠱㍦㘴㉦㕢㜶㔳㔸っ搸㑢搲慢挲户㘰搵㘵㌹㜴换㔲搴散挹㡡て㠸慣攸敢敢㌸㑦㘷昸搷ㄴ㥤戴㐹㠹㑣㙥捦慣捣㌸㡢户㠸㡡㙥㐸ち㤵っ搷㔰㔳〲㤱昲搸㜶㑦挴昴㈰㘲敥挲挶改㠷〸愶〸づ〳ㄴ㝥〲㐹戳搳㡤㘷㌸慣㝦㠳㉥敤㑡㈵㔷㈲ㅡ㤴㡢昰戵慥挲敡〸㕦昳㠷〴昷〲戴㤹㍦㜴㐰㘶㄰愲㐲㜹㠲㄰㔵ㄸ挳㍣㘷挹㑢愴㠱㝤㈶〲㑢戳つ㍦㜰㙤㐶㤶㠶捣㌹昷戴ㅢ捣㔹晥㍡㈲㔱愳㘶㤴㜹㘸㑤㍡愰㉥て戶㑦㕢㤹扢扥㉥㙢扡戹散㌶㈰摡收攷㜶挳挱ㅣ摢〱㕢㔲㥤捤㌵㠱搴摢昹ㄸ㐳〸散戴昲户搲ㅢ扢㈳敦㌷て㝤挳慤ㅤ㕤戱㠲扡ㅣ㌰㐳愶㘳扥㘴㘲ㄷㄱ㌹愸昵㥢㉢㙢㥥㤴㜳㐳收〹捦慡搵㉤㐷ㄲㄹ戰㌱ㄹ慣㕢㤰ㄷ㄰㈵㔸㜲ㄹ〳㜴㥤㈱㜳挵㌳ㅣ㝦摤㘰㐰㜱㜳㝦敡㐹㠵㐵ち收㡣攵昸㜸㡤挲㈲昳挳收昲㥡㝢〹ㄱ摢㠶敤㥣㌰搶晤㕤㠱ㄵㄲ㝤㤸ㄴ㙡㠴㈶㌴㑤㤴戴㔲慦昸攱㠱㍣㤷㈳敦攵〹ㄴ慥㜲〵晡捣㌳戴㌷敤晡㈸㐶㐳㍢㥤㜳ㅡ㐴昴愸㔹搸㤷㈹㠵挹愹晡㝤散昳〹㠰〷㑥㥣㥤㙦㐵收摥㔵捣扡㐰㉦㝦㠶㡣㔷㘴搱っ㠴搰㐷户㉦㈴ㄵ㤶㤱㜲挰㠱挰㌸㥦摡挹慦㙣慡㌶愴扥㝤慤散㜱㐴㤲〶捤〵㘳㔵搶ㄱ㡦戶㡤㘰㕦昸㐰㌳搶㌶敡㝥㔴㌷敢摡戶㐱搲㈲㔹㉥㔷つ㔲昰㜴㈳㜰㑦㔹㡥㙥〲㈸晡㡢㡡㡣换㈸㌲㉥慢愲㐱昳っ㐳㠳㉡捦戱摣ぢ㠶㘷〵㙢戶㔵㉤昱㠱攱扢㕤㐱㤳㘰㜲㑡摥㌸挵㌲㘳扣捤㥡㍦ぢ㤳捤㥦〴扡㈷㈱㐷戹㜵㐴㍦㈸㔷ㄳ㐵晣ㄳ㍤㍡㤶㈰㘰㤴愷㔴晦㘳㡣㔶㔰户㈳㈰㜲㔴扡ㄲ摦挱戸昲㈴㑡㐲㈱㐴慣㘷㤰〸扣㠲〹㈱㑦ㄷ㜷搱㍣敢㔸〱戰㐷㡣ㅤ户㠲㌹ㅦ㈸〷㐰㔶ㅤ㙦慦㔷㔸㑤㜴㥡㘸㙡㠵㥢㍡慢㔲㙡攲挶捥晡愴摥昸攸ㄶ搵愱㐶㐹㈸㤲敤ㅡ㈹捤戲挵ㅣ㜷㤳慡ㄱ㑡㜱挷摡㐶㘴戹㑤㕢晢㑥㈹昲㉥ㄴ㤳愲㤹㥣晥㈷㡡㔰㄰攸㡤㜴ㄴ㝤昶搹攴㤱㠸搸搰〶㈸㔳㑦㠵㘵㐳㔱㐸㜰ㅥ搷㑥㙡戲ㅣ㍤㠱扦昷㐵搹挵㐶㤰慡㌱㉥㡦㐶㌵搳昵晡愲〳㉢愱㙡㜸戵㕤挲搲㔸㕢愸㘱ㄴ㜷昶慡晤挳敤㑤㌰㘲挴㠶っ㡢㘴昸㠱挱㠶㘰慥㐴㐴㤵搶搹㄰户扡㔹㕣攲搳㈹㘹㌸ち〳换㐱㙤㑥㙥㈸㌳慣㘵挹㡦慡づ捤搳愲㤲愳扡㌹扤敡㐳愵〷㤴攳㔱㑥㌱戸㙥㥥愱㕢ち㤷ㄸ㈰㜶愳摣㔲㌵㐰㘸户㌹〰㑦〶扢〷㍢搸㤱㌰㜴㐲敢㡣ㄲ戴㤸㐱戸改㐵㤰㜷㝡挴㈸〴愹愹搲慦㡦㠹慦㍥挷昴捦挷㜲㜱㈶㘲㈲㠶扢㌲慣〷㈰㌷ㄹ㤹㈴ㄷ㡤挶〱昳㔰戲㈹愱㌵ㄸ㤷搱挴ㄸ愲挹攷〵戸挵挳㔸搶㌰搹愶㡥㝢㙥㠱〵㙤㕡摦摣㘷捥㍢搵㝡愳㈶㤵㉡㡥㘵戵搲挸扢〲㕦敡ち㘰挸㑤ㄹ晢ㄲ㙤捡㍣㡥㔲㕣㌲㤱搴扢摤慤ㅦ㐳㜷㈵攴㌰㐶愸晡ㄸ㠰捣㜰换愹㠰㔸挷㍤〵摡㠷晢㕢ㄷㄸ搴攵㌹㠸戴㡥㈲捡戲〵摣挷㙢㐶㤱ㄵ户㈵㥡㉤戸ぢ㉥㙤昶㐴搱㐹㉢㉣摡ㄵ㌸挲㍡㐳㠱㔷㉣挲ㄸ改㤱㍢㌸㐸敥㑡ㄴ摤扤昲愴㝡捣㕤〱㉡ㄴ〶〴㘳扣㍣〵攵戰慢㘰㈴ㅡ摣㕡换敡ㄶ㡣晥搲昲搶愷〱〴挳挰㌴㘸搱㌲㌴㜰㘶㤱摦摥挰戹〹慤㌲㈲愴挹㘰㉡㘳㤴愳㜰搸〳㘹攰㈶ㅥ愴㔷㕣㈸愱㘰㑣㕤っ㡢敦㈶㑥搸㌸〲戹摥㌵㙤㠵㑢㐶㠰敢㉦捥㠱戶攲改㕡㡤收㉥晣㜳扢〲慢戸扡ㄱ㥡愳㘳㙤㤷戲搴㥡㘸摦摤搲㔶ㄱ㕤ㄶ㍣㍣㌷㜹搲〸慡㙢换挱㘶㜸㜱慢㔷㤲㈸扣ち㝦挴㤶㙦愷捤㥣㜷㜸ㄱ㜵㠳㝢㕦扥攸戸㤷ㅣ㌵慦㠲捦㕢㝦愰㄰㕣愱散攷㈴换戹摦攲㥦㑡㕡慥昰㝤㡣戸㤳㘹㜳㠰㤶㠳㠴攳愸ㄴ㑡㠳㜱攴㌳攸〴戶㝢昳搶〰改㘴慣㡤㑥㤴㈰搸㈳ㄴ攷挲㝢㐶㈸攲㝢㐰㉢㠹㈵㍣㤲㘳捦扦〵搶ㄷ慦愰㠴〸挷㜳㈴㐶ちㅦ㐱㉥〳㜵㑡㤰㐷㔷㍣㜸㈱攴晦て㤶㘲㙥摥㤲㥤㝥て捣㉣㕥㙥㐷搱㡤㐴搱㑢ㅤ㈸ㄲ扣〶愲昸昷〱㘴攲㔴㘰㜸昶ㅤ〵挲戹愶扤〳攸晢㝥攱昷晦昰〰扡㄰ㄱ㠷戲搱㄰㙡扢ㄵ捦㑤ㄳ愱慦挳㐴㘰昰㕥㤹〸愷㤰ㄱ㡣攲㠷㈶㐲攴〳㔹㐴挱昶㈶〲㘳㝢ㄹ㠶㘰㈲搴㥡㜰㙢昰〴㜶㡤㑤晦搸㐹㕣扣㤵㍥攲昹㔰㕡晥㉣㍣㔲搷㜶ㄶ㉦ㄹ㥥㘱ㅦ㔰攵㈷㍣〹㘵收慤攰㈶户敡挲ㅥ搷㙦㔹愳㍡㙤攱慢㠸扤散㝢晥㤴㥤摤㕦〷愶挲ㄴ扡敦㐵㐹ㄴ摦㠵愷㐴昰摣㤰晢昳戱㙦㥦昸敦挷㥦㍥挶摢㙡ㄱ慤ㄶ敥㐴扥㤷㤰㍤敤〹〴㜵ㄳㄷ㐵慥收㠷㌹愷昰㠹㤲戵㕥㤷㌳㠶愷慣㈰㕦户攳㙣㐸㜸〹挲っ㠹㙦㌷㤸㤸戸昷㄰㥡㤸㤳㙤敥㑥昵㘱㤳㜲ㄱ㑥㈶㈶慥㝣㝡㜱搸㔰㜴㔵㘴㍤㕡㥢㠵㝦㠱㉡㝡㠷ㄳ㐹㕢㠹㍣㜵㌲〹昱㥤㜶㕤㜷㠴扡㉥㍣挸㌰散ㅦ㑢㈹挴ㅦ㐸㈱挹㠳っ㉦〴㈸㈹㜵〶㤹挲㕤〰ㄹ㤱戵昶㄰㉦晤〱㝢㐲㐰㌶㉦晤昵昸ㄱぢ㜶ㄱ㔸㡣㝤昱扤㥥㘸㘹㡢挶慡㠹愱㕡㘵搳㉣㈳愳づ㉦㉣㤸㡡㑢㔳㤶捥㘱㤴敥搸ㅤ挵㤷っ搹㘱攰㉤㘴散㠲㑤㕦㕢搹扥摦㘹攰收〷昴㑣㔱㈹っ㘷㍦㡢㜱㈰㔵㌱扡戰㘹㌹㉣㈲ㅣづ戳捤㑥〳㔱ㄵ㜴㤶㜳〰愷㔲〴晦昸愵㄰敢㈷㕡㐳㕦摤㕥㐳ㅤ攷昴㘳㠱晣挱晥扡㌱㠳戱昱㔶㜲っ㈴散㡥㕡㤵挲敢攱㘷搱㠵㡢捥〹扤㤵㔵捦攲〸晥挴㥣搵愷㜵攸㝦㐶慦ㄵ㘷㥤㘳㙦㠶戱㔳晡晦㔳㈸搸㔶晦ぢ挶摥ㄴ㈲㍦ㅤ㘵昸㔰㘰晣㘴摢㤰つ㜷〴㥥㙤〴㙦搴挱㔸㔷㔹㠶扣挳摣㌲㍥㕥つ慢㤵〴㠷摦㉢摦㝥㌵愲搹㤷戶敤㐰㔷〱挸搸㔰攱㕢㄰㐱㕤晢愷攵㔶㝣扡㉤㍥㡣㡥㘳愷慣慡攷晡慥ㄹ㡣㉦㈳攸㍢捥㙦捦㑣搸㍣搳攲㥦摡㠵摡㉤搸㠹挱㐷搰攷昴㈲〴昶㘹ㄹ扣㔷戱㐸㐶ㄶ㜶ㄶ挹攰㜷㐸㈳㠹昰ㄲ戵㠳㝦㤵昹㘰挳愸攳搳搵㐵昸㍡〳ㄶ敤ち㘵ㄷ㝡㥣摢㙦㘸㜰敢㜰㐷敢㤳昰〷挹晡㈴㠲㘳㙡〹て㍦挲㝤㙤摦㠳㜴摢㘸㙤㍥㕢昶收㜳㉢ㄷ㕥〰㑥㜷昶㤶㌴挹昰㥤晣㈲戹慣㔷〸㜱㘹晦ㄸ晥敥摣㐱换搱㐶㐱攷搱〷摤㜴㠴㑤搴攱㍥摢㐱昴晢㍣扡㡡㘹〲晣㜴㈳捡昰㐱搰换㐷㔶ㄴ摦挰戲挸〰挸攷㡡㔵㠰敥㔴晤晣㔶㔴㍤ㄲぢ㘴挱㌳〶挹戱㉣扥㠶㠶摣慥㜰搹㘰〹㉥㕢愸戳〴昲㝡摣〳昹㥣攰㔹㐲㑤攴㉢攸搰㥣㠸㠵搲敥ㄳ昹昲㔶ㄳㄱ戴〲搴㐲㤳攳㡦挴㕡㐴慦愳㕡户〹ㅣ〲ㄷ㘰㤸㘲㤱戲愶ㄸ㠶ㄶ㕥㈱㘶㤰晥㌳晡晢挶戱㥦扣挶昴慢㘳㐲〹㐲㔴愵㈷㑦㐱愸㈶晦㠵攴攴㍤㤴㜶㥦晣攷戶㥡晣〸㘵㈴㘷愲〷〰㐳㝤愲㠲㍦㙡㌱つ㘴戸㡦晣㠹昳〴昸愵㘶㌱㘲愰㐴昵扤㠴っ晡㜲挳㔵慢换挸挴㝤ぢ㕣㝦挶挷㍤捡㍥攲㐵㐸晡㜲㡡愱㌳戶ㄸ㙡挵㤲ㅤ㜹㘱㜷㠵㙣挰㤲昸戵㙣㔷㤱㕥散㌱挲㉦㍥ㅢ㈳收攴挹昸换㈹㉤㡡㌹㠱㌰㐲㡢㤴昴挳㡤ㄴ㝦ㄹ㌷晥搷ㄷ㕢㉥㔳㔴㈰㠱㝡挲挶愴㌳搵昸㤹戸昱㘱㝣㤵愵摡攴㜸㠳㠰改㡤戸㌱改㔱㌵㝥㍡㙥晣换挳〷㥡㡤㘳㍡っ㐷㉥㤰㐸㌲㙣㕤㘵晤㈷扥搰ㅥ㐶昳㠲㐹晤㌹㘰㠶挵㤴㥣㉡㜴㕣㔷ㅡ㜴㄰㤷㐱㍣㝣㈳扤㠰扢㑤戸〲〲㈱ㅢ晥慦ㄲ收㜱攷㘹捥〸っ㝣〲扤㠱㘰戳愷慢㈷㜶㉥㥡㡢ㅥち晡捤㜹ㅦ㘷慡摡慥㈲ㄱ㤸〳昹㜰㝦户㜱捡㘷㤸㡥慤晤㠸㠳㘴ㅡ敦㤰昴愶㍣㔴㘰㈵㉦㍥ㄳ㘳㌶昷㔴㡢㘶昴㈷㠱ㅣ㐸㐷㐰㘶昴愷〰挳㐰っ㙦㉢攷㐶挸晦㡡戹㍦挳㡡扦㈰㜸ㅡ愰㉣挸散愴㠳攲㌳〰㘳戰㔲昱扦慡昰挷㙢㜲㝣摤㤳ㅢ㤶晦愳㝦㜴㌵昱㜸晣挶㈴㉤改㥦㘵慦扦〲攸㠳て㔷㐴㤴㔸搶晦ㅡ㈵挹㌷㔳㝡愸㌷晦つ㉢晥㤶攰㜳〰攵〲㘷扣攳慤攳挲㝡㔴㕦㥦㐷㔷昱ㄴ〱㝥晡ㄷ愲っㅦち摣㡣㍦敡㙥㌰昳㍣ㅣ㝦摤㡦㜸㘷敡㌳晥晢昱㔹晥㈶ㄷ摤㠷晦㉢㐹㐱㔹昷㜹敤ㄳ扤㡤㐵㑥愰㘱慥㝥敢搸散㜷㌱づ搷搵ち愳㜰㐴㙡㤶㤲㔶ㄴ㐴㍡ㄷ㉣㕣扣㠱㙦㌹慡㉡㠴㈰㈱愸ち㈷慡㌸㠶〲晤敦搸㤴㌸㈶㥥昴扦攷ㄳ㔱慢㌶昱㑢㔱㠶て㠲㜸㔵摤ㅦ㡤扡挷㉦㈴慥㔵㠵搵昶㐲攲㕦㔵慣㈵㕦昸ㅣ〷㔳挸㐲㈶慤㥡㠸㌴㐵㐳㕦㐳㘶愸㙦㤸㜳㝢〸㍦敤戲愸㥥慦㥤㍦晦搶㜰㝥晣晡晣愷晥㜴昰戹㌷晥攳捤㘷㕦晦戳愳㍦㝦晢昹攷㕦晦㥦㘷㕦㝢晢搵搵愳晦晥挲ぢ晦昶挰㍦扣昶收㝥昳㥢摡㡢㙦㉤㝣昳㠹愹㡢㑦㍣㘶㥥扤昳挴ㄳ㥦㝥昴挱愹愵慢㈶晡晡晡晢㙦ㅢ晤昱㜵户㡦㍣昵搸换攲〷㍦扢搶ㄱ㙡戹㜸㐱㝡ㅡ㕣戶㥡挶搷㤱挱㌴㌸攳昷㜵ㅡ㕣慥摡愸搵㘸愳㘶㔰㔰㠲㘳㠳ㄳ㔰ㄵ㐶扡㘲攰㜷㝤ㅢ戵㔴</t>
  </si>
  <si>
    <t>㜸〱捤㕣ぢ㜴ㅣ挵㤵㥤ㅡ㘹㐶㔳㈳挹ㅡ挰㠰〹㍦〱㌶㌶搸ㅥ敢㙦ㅢ㘲搰捦ㅦㄹ昹㠳㈵㝦昸㘵㘸㘹㝡慣挱昳ㄱ㌳㈳摢㈲〹㄰〷㥣㐰〸㈱づ㄰㠸㈱㘴ㄳ㤲昰㕢晥㙣㌶ぢ㑢㠲㈱戰〹〹㝢㜶て〹㥢㉣昹戱㐹㜶㑦〲㔹㈰㥢攴散㌹〱敦扤慦扢愵㥥㤹ㅥ挹㜲搸㜳㈸攴愷㔷慦㕥搵慢㜷慢扡晢扤敡ㄶ㍥攵昳昹づ愲昰㌷㑢㌵㤹ㄳ〶挶昳〵㌳ㅤ敤挹愶㔲收㜰㈱㤹捤攴愳㕤戹㥣㌱摥㥦捣ㄷ慡愰㄰㡣㈵搱㥥て挴昲挹㉢捣㔰㙣愷㤹换㐳㈹攰昳㠵㐲摡㡦㜶㙤晦㡢㑣㔴搸㑢㔷㤳㐰换愷㠳㈴㌵㈴㈱ㄲ搱て㤳慢〵愹慢〳ㄹ散改摥㌰㜴ㄹ慣てㄴ戲㌹㜳㔱攳ㄶ换挶㡡收收㘸㜳戴扤㘹㘹㑢戴㘹㔱㘳捦㔸慡㌰㤶㌳㔷㘴捣戱㐲捥㐸㉤㙡摣㌸㌶㤴㑡づ㥦㘷㡥て㘶㜷㤸㤹ㄵ收㔰㔳敢㤰搱戶慣戹慤扤㍤戱㝣昹戲扡㝡㡣扣扥愷㝢㘳捥㑣攴摦慢㌱㘷㜱捣つ㍤摤搱昵㘶攱扤ㅡ戳〱㘳㘲挸摥㙣摡㐸㘶摥愳㐱〳㕣㠳昶㕥㜳㌸挹挵㌲捤㕣㌲戳㍤㡡㘹ㄷ〱㡤摡搲㘸㔷㍥㍦㤶ㅥ攵扡昷㤸愹搴㈶㌳㈱㡢㤴敥捤ㄷ㌶ㅡ戹㜴扥㉥㑤晣捣㥣㤹ㄹ㌶昳戳搲㉢㜷て㥢㈹㕢㌱ㅦ㑡㙦㌱㜲敢㡤戴㔹㑤愶㈱㙤慤㘱㕦摣捣ㄴ㤲㠵昱晡昴收扣戹挹挸㙣㌷愹ㄲ㐸慦ㅥ㑢挶㔵㜵㌵㝥㝣㔵昳扤㘶㈶ぢ㠵昹愴㝢㐶㡣㕣㐱㙡㕣挲㘶㉦㕤搷㜶ㄱ㉦㡡收挵㉤搵㔸搲㡢㙢㌶㤰㑣㥦㘷收㌲㘶㡡㐶戸㤲ぢ㑢㤴〴㈰㙢ㅤ㈶㤰㜲摣攱㉡愹㕡晢㘲愱㉦戴ㄲ㡣㠰昴慣捦收搲搸㤰晤搹㥥戱挲㡡收愶㘸㐷换愲㌵㐹㥢㕦摡扡㘸㥤㘹㘴㐴扣㜴搱㐰㈱摥㙢敥㕣搱ㅣ㙤敡㔸摡搲搱搱摡摥扡扣慤愳戹愳㘹戹㍥〲〳改㈳㌹攴㔱㈰攱㑤收㜰㉣㤵扤㉣搶搲愶㘷戳攵㘸㄰㔵晤㕢㕣扣敥㈹昰〲昲挷っ㝦㙣挸ㅦㅢ昶挷攲晥㤸改㡦㈵晣戱敤晥搸㠸㍦㤶昴挷㉥昳挷㜶㐰挷㈹愱㥡ㅡ扦㕤㜶捣ㅦ扥㙡摥㉢㤱㜵晢㘶㐷昶扤戶敤攵㘳ㄴ慦㔷戹摣㡦〵搳㔲攴㔲㤳敤挲戲昶愵搱收戶㘵㙤㉤ㅤ㉤慤捤慤换㕢㈶晣㘹㕤ㅡ㙤搳㜳搰㑦ㅦ〷ㄲ晣〰㐸挳愰㤱㌶㌲㈳㔹㝡㘱挴㕡摡昵昱㙣㍥〱㐴愹晦㠰ㅢ㜴攵㤹て敦昵㕦扦攳扣戵户扥㘸扣晥愹晤昷㙣㔵扣㕤挸ㅣ㑥〲㜳㙣敦挶㙣㌲㥦捦㘶㙣㘰㥢ㄶ㙤㌲ち收㡡㜶㝤㌲㐷㙡〴〹㥥〲ㄲ改㠷㠱㝣捣ㄸ㌲㜳〵晣〶㘰愷戲晤㌴㄰愵㕥戵㉤㕤戴晥摡慤扦㝡攷㌷ㅢ慥㕢ㄸ扣攳㠰㜹㈰慦㜸㑦ㄲ㑢昳挰捣昱戶搴摣愴㑦攷㔰昳㐱㠲ぢ㐰㑡㑤戵敢㌳搸㝥㈶㠸㔲㍦戴㑤つ㝣敡㥡ㅤ晦戴㝤捥慡㑦敦晤挱㡦㝦ㄷ㐹摦慡㜸攷ㄳ㔳㡢挰㑣戱㔷㥡愳慤㤳㝢㘵昹〴戶搸㉢换㤷戶㌶㉦敢㘸㙥敤㘸㙥㙦㙡㙢敢搰㡢㘹㌵ちㄲ㕣〲㔲㙢敦ㄵ愰摣愱㥢搸搴っ愲搴㑢昶㠴晡敥扢㘰摥㘷敥㍤戹晢㘳㙦〴㕦㔸扤敤㡤㥤㡡ㄷ戸㑣愸ㄵ㑣㘵摦摢㌸㔴㍢㐸戰〳愴搴昷づ扤㤴敤换㐰㤴㝡挱㌶㜵㔳晡敤晦㍡慢㘳㕢攷户昶收昶㕣晡扤㘷晥㔳昱㕥㉦愶捥〲㜳㌸㥢敡㙣ㅡ昹㈰㐸㜰〵㐸挹愶敡搰攷戰昹㕣㄰愵扥㙤捦攱㐷㍦摦㝦搶㡦㕢㝦摤晤昹昸昳扤㠳㥢㘲愷㈹㍥㙡㘴づ㕤㘰㌶ㄶ㙤散愲㙢ㄵ㐰㑦攲扦慣愵㘵㜹㑢摢戲搶愵换㥡㍡㥡摡㍢㕣ㄷ㙥㐹㡢敥收ㄴ㝡㐰㠲扤㈰慥挵㘸搷㉢搹戴ち㐴愹㙦摡戳㍢昱㉦㍤慢ㄲ㈷摦戴收戱㝢捤㤶晤戳扦户㐵昱ㄲ㤶搹慤〱㜳㌸〸昵搱挸㕡㤰攰㜹㈰㈵〸戵改㝥㌶慦〳㔱敡㔱㝢づ扦㙤㕤昳愱摢摦㍤搸㝦换㤳摢㕥晡捤晣愷敦慡摢㠰收昳敤㍢㕢㙦捥搸㠵㘷挵攴㘳〸捦㕥晥㌷晤昳ㄷ㡦摦㐴㝢㘲㘹愲戹㌹摥摥㘴戴ㅡ〱摥搲づ昵㐶捦晢㘸㕤㘲㙢㌲ㄳ捦敥㤲㍢晦〹摤㐶摥㥣㝣㄰㉣戴摢扡戳㘳㤹㜸晥㜸敦挶㠱〲㙥㄰ㅦ㈸㙤㥢ㅣ愴慣摢〰㥥㡢㘶㕥散㥤㔴摡㙤㡢㤱ㅡ㌳扢㜶㈷慤收ㄳ㑢㥡昱㔴捣づ㔵㙥㕤㤵㌳㉦㥦㘸㉤㥢㔱ㄷ挲慣㥤㌲㜶㤹㤷㔶㤳㌵慦挶㥥㤱㙣摥捣挸昴ㄶ愶㌷㈶㠷㜷㤸戹〱㤳㐱㥡ㄹㄷ㔷㡦㘶㤳晤㘸㕥戸㈱〳㐷昱戰㡤㥦敡㤶㈶㔶敥㉥㤸㤹戸ㄹ挷㝣㐷㜱㠷ㅣㅦ㌴㠶㔲收㌱㐵㉡㤶㑤㌴ㅣ㔷㈴㕥㤵ㅤㅥ换昷㘴㌳㠵㕣㌶㔵摣搲ㄵ摦㘹㈰ㅣ㠸慦换挶㑤㍣捤慢㔹㝣捡㔷㔵愵㤴敦㑣慦㐷㉡挷捤㐷㘵㈱㕣㑢捣㠷晢㥣攲㙤ㄷ挵扤慣〰㉦㔲㈶昷愴㝦敥㌴㠳挹戸ㅣ收㡣捡㡡㉥㥦ㄸ搱㔲㝢㐱㘵㙤㤹攳挴捡晤晦㉡晢晤㐷搹摥慦摣㠹㤰㘹㡤㤱㠹愷捣摣㤴昱戸攲㡣昴㐶㤰挰㐳戸㥡㉢愲挷㠷戹摡慤挶〳扢㤲昱挲㐸㜰挴㑣㙥ㅦ㈹㐰㠶㤸㍤ㄴ㈲戴㘵㐵㙦㠲㐸て㤰っ㠲㠴挳扥攰㘶㉡〵挳㝡㡢㔵て㌰㍡㤹㜹㌰㈶㔹㠱〴㝦㠸搴昳㠱昴慡㙣㉥㕦㔵攵攵攵ㅡ㈳㍦㔲攰昶㥣戲㤱㘱㤷摥㑡戲つ㈴挰攸㘸摡㔸慦〱㑡搵っ㘹敢搳扤㘶挲㐰㈲㈱㔷户㌲〲㘹㉢㌶敤㌵昳挳㥡㐱㙣ㅦ慥㤵摤㐱㜰戸昸敢搲摣晤收敥㐲慦㔱㌰㙡搲〸㠷戱㑡ㅡ㑡ぢ愵㤷挵戱㘷扤挸㥣摥㘱扢㠶ㄱ㈲挲扡㐶愹ㄵ㠱㌵ㄲ㉥ㅣ㕣㉦扥㉡㥢㑥敤〴收捥㠰㌵㔸扡搱㡢挳㕡㐴摢昱搵㘶㘶㜰㝣ㄴ戱㍡搴㐳挱㈹愱㉣扤扣㌸搸㠶攱愱捤㠵㘴㉡ㅦ挵㑣㔷攷戲㘳愳敦攵㌸ㅣ㑢㕦〰攲㤴挰搷戰㡢て摤㈷收慢㌵㍢戹㌶戱㤸㉦挴搱㈸搱㡣㤸㌵㜷㉢〶㍢㠸㕦㔲昴㈵昸ㄵ㥥慡㉤挰愰㝡㈶㈹〰挳搳扡㌴㄰ㅡ捣㤹㤲搴㠴愴〲戴敢搳㕢戳戹ㅤ㐳搹散づ敥愷㔹㔲换㡦㤸㘶㠱㠹㐲慤㥤ㄸ㐹〲愴㔴㔵㔵㔱〸敦捡㈸戸㑤㠳〶挸㠹㠳搹㜸㌶摦㠸㥦慥摣攵㘳挹㥤㘰攲㘶攳㘰捥ㄸ㌲㔲㈳搹攰㄰㔴慡㤰挲〴㠷挱戴昴慣散敡㙥攵㠶㌵㤸挴昱㥥㥣捡㙥戹戰㙢昱㍡愳㤰㑢㕥ㄱ㌷〷捣㑣㍥㌹㤴㑣㈵攳㐶摣㡣敥㑥攵㜷慢㍢㠰ㄳ〳昰㌷扥㜴收㤲扢㡦摣搷昷戱㥦晥攴昶摡㈷晦昷〳㙡扦摤㔰㤶ㅤ㌰戸㤷ㄴ㈵〱㐶摤づ㌵摥㝦挰ㄷㄷ㍤㠲扡㑥㤲㕣〶㠲扢㠸慣ぢ㙥㈲㈹慢慡㤸㈰昰㐶愲搳㈴ㄹ㄰挵捣㠰㤷戱捥㠲㌸㐵摤㠴昱戹㍢㘴㠵㤹㔱㤴慦㜰ㅥ搲戰㥥愲㑤㌱摦攰㉡㙢愲慡㠹㥢㈶㘶㙡㉦〶昶〴攰㕡扢愱㉣㌵㘱搲㈱〰㝣㠴晤㍦づ㌵㙦〰慥愴㡤慢㐸慥〶㜱〱戰挷慡慡㐶晣ㄶ〰㍥づ㐶㕦〳愲㑥〵ㄱ〰慥〵攳ㄴ㜵〵㙣㑣〰㜰ち挴攵〰㕣〷㘹㔸㑦搱愶㑥㠳㠶ㄷ〰愳㤵〰挸摡つ㘵ㄹㄳ㔳㈱〱㘰ㅦㄸ㤵慥〸挰捤㘸搶户㤰摣ち攲〲攰㌶慢慡㤸㑥〹〰户㔳改ぢ㈰敡っ㄰〱㘰㍦ㄸ愷愸戸ㅢ〰收㕦攵〰摣〵㘹㔸㑦搱愶㤸㥣㜹〱㜰㘱㈵〰㉥戰ㅢ捡昲戸挵ㄸ㐹〰戸〷㡣摡㕡ㄱ㠰晢搰慣敦㈷㜹〰挴〵挰㠳㔶㔵㐵昱㕢〰㜸㠸㑡て㠳㈸愶㙤〲挰㈳㘰㥣愲搶扢〱㔸〲㜱㌹〰㑦㐰ㅡ搶㔳戴愹㘶㘸㜸〱搰㕢〹㠰ㅥ扢愱㉣㙦㙣挳㐸〲挰搳㘰㔴㔷㐵〰扥㡤㘶晤っ挹〱㄰ㄷ〰捦㔹㔵搵㡥摦〲挰㜷愸昴㍣㠸㘲㌲㈹〰扣〰挶㈹㙡㤹ㅢ〰㘶愱攵〰扣〸㘹㔸㑦搱愶㤸愲㝡〱㄰慤〴挰㘲扢愱㉣㥢㘵㌲㉡〰扣っ㐶㉤慣〸挰㡦搰慣㕦㈱昹㌷㄰ㄷ〰㍦戱慡㡡〹慤〰昰敦㔴㝡ㄵ㐴㌱㤳ㄵ〰㝥ち挶㈹敡㔴㌷〰捣㠰换〱昸㈵愴㘱㍤㐵㥢㍡ㄷㅡ㕥〰捣愹〴挰戱㜶㐳㔹㉡摤㡤㤱〴㠰摦㠲㔱㐷㔷〴攰㜵㌴敢㌷㐸㝥て攲〲攰㑤慢慡㝡昰㕢〰㜸㡢㑡㙦㠳㈸㈶换〲挰ㅦ挰㌸㐵搵戹〱㘰㠲㕤づ挰㥦㈱つ敢㈹摡ㄴ㔳㜰㉦〰晣㤵〰㔰㜶㐳㔹戶捥㘴㕢〰㘰攰愱づ扥㕢改㈹攰㐷戳慥㈲攱ㄹ扢ぢ㠰愰㔵㔵㙢㌱㤰〰㔰㐳愵㄰㠸敡㠷㐸〰搰愸㌹㐵晤〹㌶㈶㥥〲捣昰换〱愸攷㤸㝡㡡㌶戵づ晤扣〰㜸ㅤ㠳㝢㍥〶㝦㘷㌷㤴ㅥㄵ〴㤸㝡捣㈰挵慢攵㠴ㄳ㕢㤲收㉥挶愴戳ㄲ㌸ㄱ敥ㄹ换ㄷ戲ㄲ㐰搷㈷㝡戳敢戳㠵摥㘴㝥㌴㘵㡣ㅦ㤵戰㤹慤㈳㘶〶改㙤づ㔹㙥㠹㉣㍢㍡㙡挶㜵㘲㈰㍢㤶ㅢ㌶晢㝡摦て改㉦晣挳搲㐹收敢㔷㈸㠷㤷搱攱㜰㐶昹㠲挷㘰ㅤ㙢〷挷攲搹愸㜵㐸ㄵ㐶昱〵㌶挱㐰㘹愰㉥攷搴慥愴㕡搸〸ㄴㅢ㈶ㄱㅥ㑣ㄶ㔲㘶㙤㐲ㄲ㕡攱㐳〹愰㡡㌳㠴㜸㑤㘲㜰〴〱㙣㙦㝤㘲㜵㉥ㄹ㑦㈵㌳㈶ㄷ㘷戶愵摡㙦㙥挷㜹挱挶㙣㍥挹㘸戲㍥㠱愰㌳㤳ㅦ㘵敡㌳㍣㝥㘴㔱㑤㜲愴㐰愲㍢㤹挹挳㡣慣㉡昹㠶挴挰㐸㜶ㄷ摥㈶㡤愵㌳慢㡤搱晣晢㘲㤵㈶慦㈸㔹㉡攵㔷㝥扦ち昹㐳㠷扢㕥挱㘳㌱攲搱搸戰〸戱㠷挶㤲捦㝥晤搹慦㘴ㅢ慤㔵攳㠶昰戵攰㕦㌵〹慥㝤㉥㈲昳敡搲㌴挷戵㠸㈵㘷ㄴ㥣㙤搱㝢ㄷ捦㜴㜹攲㈵㕤㍤搴昵ㅣ㜴慡㍢づ㘴敤敡捤㝤㤳愷㜷㝦搵ㅢ戴挰㈰㐶㍥攴挳ㄲ摥㘰㘶㔹㥢㠸〷㈸摣㔳戸㔶戱ㄷ㔸㉢摤㤸攱㠴攸㜰㡦捥㥡㘴㔷㈱摦慥㑢昴攳㉣㍦㠵㘳㠲戴㔱㤸㘵㔵㜸㕥㠳㌷㉣㜹扢慤㈷㥢㑥ㅢ摣㜴㝣㑦㌴㌰㙣愴捣㔰愲㙢慣㤰㕤㤷捣攸〴㠸散㑣㕢㘴散㠶挸搸㉤愲扡挴㈶ㅥㅦち捦戱戲摢㡤㕣戲㌰㤲㑥づ㠷㔸攱ㄱ摦晢㘲户攲㡥㔲つ㌰㥤攲摣㕤㑡㑦〸慣㍣ㅤ换ㅤ挵愱ㅡ愱攳昲㘳㑦晢㔵㄰晦愹挳㍣㕤挲扤㐸ㅥ㌱晡㜸㡣ㄶ昰㘳ㄲ扣㌹㐹㜹搳㜹㜳晣收㔵㤰挸捥㔶㕢愸㠰㝦晡〴㔰㌲晣㔷捤昳㤹㈹㡦ㅥ昸㔲㈴摣㥦㌵攲慢㡣㘱扣昳慤戱摦昸㠶戰戴扣搹攴㈲㍣っ敡㐱㉥㡢㜳换㥤挹戸㤹ぢ㔱㌰㠰㌷搰搵㍣㐶ち㕡㙢㠸㌴戸捡ㄷ〸搴㠶扣㙣昵㌹㘳捤戵㔳㙣昷ㅢ敥扥戲昱㕦㍦㝦ㄹ〳㈵戸㔵〵慡㑦㠴ㅦ晡㈴晡戴つ㔵晡㔳愲㜰㌲ㄵㅡ㐱〲㍣搰㈸㕤㥢攲㜳ㄹ㥣摥㘸㈸㔵换扢㔲㥥ㄸ㠵㜰扡㈲㐷㑤〱㜱愴搶㜵㐴ㄴ戴㑥㠷㐲捥ぢ搸攰〰㜶戹ㄹて㕢㜷㔸ㅥ㐵㜱㌹晣晥㙡㉣㜵戰昴㜸扤捣㉣〶㑢て㤸㜲㜶愴㘶㘱ち挱㔳搰㜹㌱㉦ㄶ㡣ㅦ挳㘹慢㤹㉣ㄸ㡤㝣㠵搶戸捥㠸㡦攵㡣挶〵㥢收㌶愶㤳愹㈵改〳㡦㥥搱㜸攰ㅢ㡤换换〲㡥㜰㔸㥦㠶㔱㝣㘱挵㈳ㄶ〷㥡㈰㈵㘱慥慢㥥㡢㔶㍤て㐴㈵㔰㘵挸㘰㍤攰㑥㠷愸散〱愷㜸㘴挰㠷㥣㉦㌸ㅦ敤㠷㝥㔳㔵㐹昴攱㡤㔵㉦愰愹换挰昱㝥㌵戱㝦捦㠴㜴晡晤换㜳〹㈸晡昴㐲づ㘲㔷㔴ㅡ㡣攳ㄸ㔸㘷㔳㉣㠲㠲㕥㑣挵㡣户㐲㤴ち㑢愸挰戳っ㙥㡣㘰ㄳ㙡昳ㅤ挰敤㤷愲㡤敢㥥扤㌷㥥捣㕡戸㉦㜰㤰挶晢挶捤攸㠱搸昳㈰㝥㐹〱搴㉤攸て愸㜹搶攱捣挸〵㜵㉢つ戶搱㈰捦㈵㈶愱㙥㠷愸㑥㘲〹晢㈵慡㜵戵昲㜴挲挲扡〳ち挷㤴㍣挰㙣㔵攸㤴㍤挱搴㔵㤰〹搸㑢㘹散㙡搴㡡挰㕥づ改昴㘰敦㐱㌷㈸晡昴㔹ㅣ挴慥㈸ㅥ㠴㌸慥㠱㜵挰㍥ㅢち晡㠳㔴扣挶㕢㘱〵ㄵ捥愱〲捦㑤〴散㜳㔱㍢捥〱㝢晤㠶㉤㕤〳戱晥つ㙢㐱㕢㥡㕡摡㔶㝡挱摢㠵ㅥ㠰昷㍡㤷〹ㄷ扣摤㌴搱㐳ㄳ晢愰㌰〹㙦㉦㐴ㅥ昰摥っ㈵ぢ摥㤵㔰㤸〹扣户愰愷挰扢㡡挶㙥㐵慤〸摥㌵㤰㑥て㉦㑦㔸愰攸搳㝤ㅣ挴慥㈸ㅥ戳㜸挰扢ㄶち晡㍣㉡昲〸挶㐳愱㥦ち敢愸挰㔳ㄹ㠱㜷㍤㙡㤵攰㙤昷㠴㜷㈳㝡〰摥扢㕣㈶㕣昰㥥㑦ㄳ㥢㘸㠲㘷㉡㤳昰づ㐰㔴㝥愳攰挱㡡㠵敥㈰摡㘷㜰愳戸ㅦㅤ〵摣捤㌴挵㔳㤹㈲㜰户㐲㍡㍤戸て愲ㅢㄴ昱摡㠱㠳搸ㄵ挵㈳ㅣて散㉥㠰㠲扥㤰㡡て㝢㉢㕣㐴㠵㡢愹昰〸ㄴ〴摣㑢㔰㡢㍡㝢昷㔰敥捣捤捤㕥ㅢ㍡㠶㘱㠰昸ㄳ㉥扢㉥挴㉦愵㕤㠳㜶㜹㠸㌳㠹昸㄰㐴ㅥㅢ晡摢㔰戲㈰ㅦ㠶挲㑣㌶昴㌳攸㈹㤸挷㘹㡣〷㐱㐵㤸㈷㈰㥤ㅥ昳攷搰つ㡡㍥扤㥤㠳搸ㄵ挵㔳㈳て捣㐷愰愰㤳㔴㝣摥㕢攱㌲㉡散愰〲て㤹〴昳ㄴ㙡㤵㌶㜴㠷攷㠶捥愰〷攰㝤搱㘵挲〵㙦㤶㈶㐶㘹攲㘵㈸㑣挲㝢㌹㐴攵ㅢ㥡攷㐴ㄶ扡㌹戴捦㘰㐳扦㠲㡥〲㙥㥥愶㜸挸㔴〴敥ㄸ愴搳㠳换挳㈸㈸晡昴㑥づ㘲㔷ㄴ㑦愴㍣挰摤〵〵扤㥢㡡㍣慤昲㔰ㄸ愷挲ㄵ㔴攰〱㤶㠰晢㘱搴づ昱挹攷戹㤳㍦㡡晥㠰晡㤷㉥㠳㉥愸慦㐴慢㘶ㅣ慡㜸ㄸ㌵〹昵搵㄰㤵㐳捤ㄳ㈹ぢ敡㡦愱㝤〶㔰昳ㄴ㑢愰摥㐳㔳㍣捥㉡㠲晡ㅡ㐸愷㠷晡㑤㜴㠳愲㑦㕦换㐱散㡡攲搹㤷〷㤲㝢愱愰㍦㐱挵户扤ㄵ㍥㐹㠵敢愸昰〷㈸〸搴搷愳㌶戳㝢㠷㘷慣㜱〳㠶〱攲㝦㜶搹㜵㈱晥㘹摡扤㤱㜶改挳㈴攲㥦㐱慤ㅣ㜱ㅥ㠱㔹㠸摦〴㙥〶㠸昳搸㑣㄰晦㉣ㄸ㔵つ㔲㠴昸攷㈰㤸ㅥ昱㈰晢挲つ㝤戳捤戰愲㜸搸收㠱昸㉤㄰敢㕢愹ㄸ昲㔶昸㍣ㄵ㙥愳〲捦收〴昱摢挱㥣敥摣慤愷っ敢㍣〳攸晤攸づ愴㜹㜴攷㑣挸㠵昴ㅤ㄰敢㍢㐱ㄴ搳㝡晣昸昴ㄷ㙤㠶挹㐹攰㜸㔴㑡㌳㡥戲㙣㤰㈹㘴㌸挱扣㜰愰㌰㥥㐲㉥㑥㤶ㄹ㠸挵㌱㤷戲㥡㤱ㄷ㘵㜳挰戹扡昴㜳㠲㠹扥ㅢ㌰㔴敤散㤲㑦㌵愴ㅢ㕢㡥挳㙣〲〶㑥っ㉢昶愷〷㤳敦㙤搹㠷㈵昸㈵挸㘷慦㑢づ攷戲昹㙣愲搰㌸㠰㤳愶㐶㝥晡㤲昰昹㥡扡〲㌱㡣攸㘹㤳㡥㔵㘷昸㑤改㑥扥ちづ敦挸㘴㜷㘵㘴㌶㠱㍣扦〰愲㌵㕤㔳㐳㌳㘱晣㤳㜲ㅡ㔰㡣㌰㐵㘵㘷晤㘵㌰昵㔵㤱ㄳ愹㠹ㄲ㘱㥥㈷っ㤳㍡㘱ㅡ㙤㈶挰㑣攷㔰戳㉣㡥慤㠶搴戰㡡㉢戳扡愶㐶捤㉢昹捥愴㉣㍢㥢㜸㔱ㅦっ㌲㌹ぢ㕣〲㤷て慤ㄳ愷㌷㠹㈸㍢㑢搶㝡㌷攴晡慢㈰攱挸㕣㔰㑥㈸昸㌵㌰㐷昶㜴挷昰挲搸晤㤲㍡昸㜵挸敢㈰㤷っㄴ摦晤收㠳昷㐰㜲〴㈴挵摦昱〶敦㠵㜸ㄶ挴慥㔳慡挸㍣挸〴捡㘱㤸㤰敦㔶昵〳㄰挹㘷慣㙡〱㌸晣昸昴㠳㌶挳戹㈹收㘳摣戸敡㝣㜸挹敤〲愱㑦㜳て㜰戹搵〶㐸戸攴挵㑢挶慣㑣散㍣ち〶㑢戶㐸搴戱㘴捣挲㔸㈲㔱㠷㘱摡挵愲㤸㌱㜱搹搴㍡っ㐷㐸〵㥡挷㈱搱㑦㠰㠴㈳㑣㥡㘴㔰㐲愳㠹㠳愶敢㥡㡥㐶㤸㑣㑤㝡㜶ㅣ〶搴㑦戱㜱づ㠷㤶攴㠷愲愷㈱挲㡦愰慥㤶㠳ㄳ捦扡㘰慣摣戳㜳㈱㉤昷㡣㈹㤰搸㌹〰〶㥥㥤捤攱㔰㈲ㅦ㜴㤸ㄵづ㜳㡥捤㈸㈶㉢攲搹ち摢戳㈳搱㐱㍦〷愹晥づ㐸㌸搲つ㕡搱戳ㅥ愷㔱搶慣㤱㕤扦捦慥㈷㠳㔳慢挰攱挷愷㕦戲ㄹ㔹戳㌵愸㠸㘷捤㥥㥥㉤昱昴慣て㥤㘴ㄲ晦ち〶㥥㌱搳㘰㠹㌰摢㄰愶摦㘱㤸㕥戰㈸收〹攲搹㘲户㘷㉦㐳慡㝦〸ㄲ㡥㌰㔵愸攸搹㈶愷㔱㍣㥢㡦〱昵慢散㝡㍡㠷摥っづ㍦㍥晤㌳㥢ㄱ捦ㄸ昴㡢㘷愷㜸㝡㜶戲愷㘷っ晤㘵ㄲ慦㠱㠱㘷ㄷ攰ㄷ㑢㠴愱扥㌰ㄷ㌹捣挵㌶愳ㄸ㡦㡢㘷㈷摡㥥搱扣晥ㄵ愴晡搷㈰攱挸愵愰ㄵ㍤㘳愸㉥㡤攲㔹㤴㕤㕦㘷搷挵攰㜰㥢戱㍤晢扤捤㠸㘷〹㔴挴戳㈳㍣㍤㙢昰昴㙣㍢㍡㠹㥤户挱挰戳ㄱ晣㘲㠹㈴ㅤ㠶搱戳㐸ㄸ㐱戳愸っㄸ昱慣摥昶㑣㜶攳晦㐰慡晦〸ㄲ㡥㌰ㅡ慥攸ㄹ愳攴㐹捦摡㌱愰晥ぢ扢戶㜱㘸㠹㙢㈹㝡ㄷ㈲晣㔸搷搹ㄸ㌸昱㑣㜹㝡㜶昰ㅤ慦敢㡣搱慤搸昱攳㉣ㄳ㥥㌱㤲㘵㠹㌰㥡ㄵ㘶摣㘱ㄸ扥戲㈸㐶㥥攲搹㍢ㄸ㜲攲づ㔲㡤〱㌴㐳㡦㜰攴㑡㈸㔴昴㡣㐱改愴㘷㝣搷慢敢搸㤵慦㡦搵ㅥ㌴攲挷愷㘷㐱㐴㐶搶散ㅡ㜰攲搹㕢㌰㔸㝥〷昹㙦㑦捦慥㐵㈷戱㜳㈴㠶㠲㘷㝢㌹ㅣ㑡攴ㄳづ昳㐹㠷戹捥㘶搴つ㘰挴戳㌷摣㥥捤收昴㡥〶〹㐷ㄸ攴㔵昴散㐶愷㔱㜶㘳て㙣改ㄳ搸戵ㅢ㥣㤲㜰㡤愲㤳㈰愲㍤昱㡣攱㥡㜸昶㑢㑦捦㝥敥改搹捤㡥㥤㔳㌱ㄴ㍣扢㠵挳愱㐴ㄸ愴〹挳㠸㑣ㄸ㐶㘵㉣㙡㍦ㄸ昱散愷㙥捦收㜲㝡昳㐰挲㤱㍢愰㔰搱㌳〶㕢㤳㙢戶ㄶ〳敡㐵散摡〷㉥昲㐵愷㌱㉡搳〹㝣ㄹ昵戳㑢㥥敤摥㙦㜳ㄶ㤶㝥㝥扢ㄲ㥦搳㡥㘳ㄴ㕦ㄵ㡥戱慤挳摦㙡晦㔹㠷㌷ㄶ愳〷扥晢攱扦挰扦挰敢扦㘲ㅣ㜸攴㡡㈷㌸㈲㥦ち扡〹㔳㙤戸ㅢ㡤〱搴ㄸ愰扡捡㥢攷摡㤵㑥敢㜷挸晥ㅤ改㙣昸慡搳攳ㄲ㜵捡扥慥挰㉦慥㕡ㄱ㝥攵㉢愳㉢收㜵晥㘹挱挵㥦㌹㌰㌶慦㤳戵昰搶㜹㥤㠹㤳捣搷慥㍤敡慤㜳搵〳攸㜱㌴挶搱〶挹㄰〹昷㤸晡㍥摣昲㝣㐳晤愲摤㔰晡愵㕡攴㐱㡣㈴㉢搹㈱㡢愵ㅥ㐵㥤ぢ愶扥㡢ㅥ㐴㐹ㅣ㕢㐶挷ㅥ㠷㜸㘶㡥㍤攱昴㜰ㅣ挳ㅣ愵摣昵搶㝤㘷捦扢昳愱慢㝥昰㝣敤㍢㥦慦扥戳戳㤵攵戱敥㑥昵ㄴ㝡㜸㌹昶㕣㈵挷㥥戵ㅢ㑡扦㐰㡢㍣㡤㤱挴戱㜳㉣挷づ愰㉥㡥㍤攳㜶慣㤳㡥㍤㘷慢㑥扢㘲つっㅢ㌸㘸戰㤲㐳㤶㝢戳㍢搵昷愱改攵挸㔳㤵ㅣ㜹搲㙥㈸晤㤲㉣昲㤲㙤㔳慦戲ㅣ㘱㤸㈰㡥㝣搳敤挸ㅡ㍡挲〰㐰愶㘷㑤挳愱攵㕢慦攱㠷㡥收搴㡥捣敤㔴慦㐲搳换㤱挷㉢㌹昲㤸摤㔰晡㐵㔸攴㘷戶㑤扤摥㜲攴㌵搴挵㤱㐷摣㡥㙣愴㈳扦㐲搳捣戶ㅡ㠳〳改攱㌸攴㕣㐳㘷攰ㄲ晡攳㍤愷㜷㕥㑥挱㥢昳㍡慦敥㑦晤改捥ㅢ㜱つ㌱㌰昰㜲散㠱㑡㡥摤㙦㌷㤴㝥改ㄵ昹㍤㐶㤲慤戶挵㜲㡣㐱㠱㌸㜶慦摢戱㙤㜴㡣㡦晢㐳㕢愱㍦㍡㥡㡥㐳捥㙡㍡搷㡥㔵挷ち㌱づ昰㜲攴敥㑡㡥㝣挵㙥㈸晤㘲㉢昲慥㙤㔳㝦挸㜲㠴㌱㠰㌸昲㌷㙥㐷㉥愵㈳㝣扡捦㙣㠵ㄸちㄴ慤㔰愹㐳㘵㌷〳㠶〱㕥㡥摤㔱挹戱晤㜶㐳改㤷㔸ㄱ㐶て戲㐲〹㌰昵㔵㡡㈱㠰㌸㜶扢摢戱ㄱ㐸ㅢ昸㜰㥦㤹㘳㡣〴㡡ㅣ㜳戶ㅥ㌶摥㠲㡢ㅢ㑥敦晣挵㙢㝢戶㙦昹㉡戶摥ㄳ㈳慦ㅦ㜱㍥戶ㅥ愳〰㉦挷㙥慥攴搸攷散㠶搲㉦慣㈲っㅥ挴戱っㄸ㌸挶〸㐰ㅣ晢慣摢戱㔱㐸ㅢ昸㙣㥦㤹㘳っ〴㡡ㅣ㥢㜶挵ㄸ〴㜸㌹㜶㐳㈵挷㍥㘵㌷㤴㝤㌹挵搸㘱扡㉦愷㕣㝦㡦搴㠰愹〵ㄲ㍣慥愹㑤㔸㘲㍥敥㜱㘰㤳㑣愵攴慣愳づ㥦㌵攴昰ㄷ㐱晤昸㝥〷ㅦ㌳攰㙦㕢敤戴ㅤ摦昵昰㉤戱昳攲㕣㑢㡤㥤㠳㠹つ㌹扣㐹慦㐹昴攵昱ㅤ㔶㍣㠴扦㘸㈸ㄴ昰昷戰敦㠷㙦ㅥ㜰晡挴ぢ㄰挵晡摡挱昳攰㠷㈷㍡㔳㝣㡥㌲㠹㠷昳㠷㍥㝥㝥つ㜱㜸㥦㘴〵㜷㜲攵慤㑦㝡ㅡ攳㐵ㅦ晡㔴慢敢戰挸㔶㐶㝦戵敦愰捣摡攷挷昱㌸㝡㐸攸㈲搱㉦㐸㔸㕦㐱搱㘶㘸〸昱〵ㄸ㑦㤵扡挶㠳㌸㍥〹㝤㈵㝦慣㔳㕢敢ㅣ㤴搱㠲㘲㌸挳㍤ㄴ晣〸㐸愵㠹㝤摣㜳㘲㔷愲㐷挹挴慥愶㘸㜲㘲㡡昱㄰㈷攷ㄴ挵㈰㐳捣敤〱㜳㡣晤㘶戸〴〸扦晡愸愷扤㙢搰愵挴摥㕥㡡㕣昶ㄸ愶ㄴ搹㈳〲㘲敦㤳㘰㉡摡摢攵㘹敦㝡づ㍥挴愹攳㜶㑦ㄲ搶㌷㔰攴戲挷㘸愲挸摥㝡〸挴摥㡤㘰㉡挱㜹戹愷戹㥢㌸昶㔰㤱戹㝤ㄴ戹捣㙤㐴扤挸ㅣㅦ愴㘲敥㘶㌰ㄵ摤摢攱㘹敦㔶づ㍥㔴㘴敦㌶㡡㕣昶昸㈸㉥戲挷攷㥤搸晢〲㤸㑡敥㤹㥥收敥攰搸㐳㐵收扥㐸㤱换ㅣㅦ㤸㐵收昸ㄴㄲ㜳㕦〲㔳挹㕣捣搳摣㤷㌹昶㔰㤱戹扢㈹㜲㤹攳㘳慣挸㕣〶〲㌱昷㌵㌰㤵捣㕤攰㘹敥ㅥ㡥㍤㔴㘴敥㍥㡡㕣收㐶㔱㜷㥢ぢ昰挲㍥攴晢づ户攰㔱戸㐳摢晦㌳つ㝥㔴戶㌰挵晦㤵㠶搷㌷㑡挵摦昰㍤〰㍢㡡户っ㡥愱晦搶㘶㔸㔱扣㠴㌹つ晤㈰愵扣㝡㐵攷㈱㥢ㄱㅤ㕥㜶愲昳㌰愵扣攲㐴攷ㄱ户捥昵㡥捥愳㤴昲㉡ㄱ㥤挷摣㍡㌷㌹㍡㡦㔳捡慤㉤㍡㑦戸㜵戸㈷挵搶摦㔱㝡㥢愳昳つ户づ㌷㤲攸晣㍤愵摣㐳㌲捥㌷摤㍡㕣㝤搱昹〷㑡戹昰愲昳愴㕢㠷㑢㈶㍡㑦㔱捡搵ㄲ㥤㝦㜴敢〸㜴㐴敤㘹㐸㥤ㄲ㈱㠴ㄲ㑣㝣ぢっ㠲〹〱慦㑣㡢㈰㡡搶㌳㤶㤶挰㔷愶㐵ㄸ㐵敢㔹㑢㑢〰㉣搳㈲㤰愲昵ㅤ㑢㑢㈰㉣搳㈲㤴愲昵㠲愵㈵㈰㤶㘹ㄱ㑣搱晡慥愵㈵㌰㤶㘹ㄱ㑥搱㝡搱搲ㄲ㈰换戴〸愸㘸晤挰搲ㄲ㈸换戴〸愹㘸晤戳㘸㐵ㅣ㌰ㄵ昱㤳㈸慣〹ㄷㄵ㤳攸㙥昴つ攱㍤㈰㈱㤳㠶㈵㈵つ㐴㐹ㅡ愲㈵つ〴㐶ㅡㄶ㤷㌴㄰ぢ㘹㔸㔴搲㐰昷愵㘱㘱㐹〳㍤㤶㠶㌳㑢ㅡ攸愴㌴㥣㔱搲㐰扦愴㘱㐱㜱㐳敤晦〱㤶攵㌳慥</t>
  </si>
  <si>
    <t>㜸〱敤㕣㕢㙣ㅣ㔷ㄹ摥㌳摥㕤敦慣敤搸㡤搳㑢㑡㘹㕤㑡㘹愹㠳ㅢ愷つ愱㐰〸扥㌴㤷攲挴㙥散愴㕣戵ㄹ敦㥥㠹愷搹㤹㜱㘷㘶㥤戸㔴㙡〵攵㈶㈸㤵捡㐵ㄴ捡㐵攵㈲昱挲攵㠱㜲㝤㐱㈰㠱㔰㤱㜸㠰〷㈴ㅥち㐲昰〰㐲㤱攰㠱〷㈴昸扥㌳㌳扢㌳扢摥戱扢㙤挱㐵㍥改晥㍥㜳㙥㜳捥昹慦攷晦捦㌴㈷㜲戹摣扦㤱昸㤷㈹捦捣㜵㡢敢㝥㈰敤㠹ㄹ户㕥㤷搵挰㜲ㅤ㝦㘲捡昳㡣昵㌹换て晡搰愰㔸戱㔰敦ㄷ㉡扥昵愰㉣㔵搶愴攷愳㔱㈱㤷㉢㤵㜴つ昵ㅣ㠴扦㤱昸㐱㘷慦挱㍣挰搲捣昴晣昲晤ㄸ㜵㌱㜰㍤戹㙦散㙣搸昷昰攴攴挴攴挴挱晤㠷づ㑣散摦㌷㌶搳愸〷つ㑦ㅥ㜶㘴㈳昰㡣晡扥戱㠵挶㜲摤慡扥㑤慥㉦戹ㄷ愴㜳㔸㉥敦扦㘳搹戸昳つ㤳㜷ㅥ㍣㘸摥㜵搷ㅢ〶昱敡摣愹㤹改〵㑦㥡晥㡢㌴㘶㠱㔳扥㜳㔶㔶㉤慥㑤㑡捦㜲捥㑦捣㑣攳扦挴晣昱㜴㘸㘲㜱㐵捡㠰慦㤶㥥㜴慡搲搷搱㜱挰㥥昲晤㠶扤捡捤搳敤愳㔸㙡搵昰㠳㠲㍤㈳敢㜵摤㡥㐷㉤搹昳搸扢扡戱㍥㘸㉦㑡挷户〲㙢捤ち搶㡢昶ㄲ〶慡つ搹㘷㝣㜹摡㜰捥换㔳㠶㉤ぢ昶戱㠶㔵换㠷㈹搷㜷㑢㍣㐴㜲㘲㙡昹ㄳ㔳扥㍤戳㘲㜸㙡㐶㍥㌷㈶愳敤㔱慦㥡㙥㝢㔳昷㜱㌹㜵昵〶㡥㜹㜳昷㜶愸㌹㙢㜸捤㤶攳摤㕢㐶㡢㑦捦攰昶敥敤ㄳ㝢㤴敥昳摡敥㝤搴㔶愶㕢㡢㠱㠸扥搵㡥㘲㌱㝡㤱愰㥦愰㐴㐰〴敡㘵㠲〱㠲㐱〰㤱晦㍢戸㈴搹㤱㔵㕡挵搰㉡换㕡愵慡㔵㙡㕡㐵㙡ㄵ㔳慢㥣搷㉡㉢㕡挵搲㉡昷㙢㤵ぢ㘸ㄳ愷㔲㝦扦ㄶ愵捦晣㜶㉣㜸攷㔷てㅤ晢敥㕤㘳㔷晣攳㥡敦昸㠳扢搰攸摥㘸㔲戳㥥㜱ㄱ愴搶愲㘲㜰〴晦㙤捥ㄵ㘰ち昳愰㜹挸㥣㥣慣ㅤ摣㙦摣㘱ㄴ戸慣っ攴愷〸㘵〴㙤〷捤晢㉣愷收㕥㔴戸扢㙥摡昰㘵㙢攳挶愳扡㘹户攱搴晣㔷㙣㕣戹ㄸㄸ㠱扣戶扤慥㌵㐸㐷户㐵戰㤵昴搵晢慥㙦敦㜶搶愸㌷攴搴㈵㉢慣㝥㘵㕢戵扤攰戹换摤㙢㡦㝡昲㠱㘶㙤挷㡣愶㈰搴搶搴搸ㅤ慢っ慢挲㜹㡤捤慣戸扥㜴搴昴挶敤〵慢㝡㐱㝡㡢㤲㈲㔱搶搴㔲慦㘴㔵挴昵攳昳づㄶち㙥慤扤㉡㔹㙡摥㝤㈹〰㌳换ㅡ收扢㉡扤㘰㝤挹㔸慥换慢㔲㑤挲㜷愲㘲㙦慡昸愸㕢㙤昸㌳慥ㄳ㜸㙥㍤㕤㌳㔵㕢㌳㈰㘹㙡㈷摤㥡捣攷㜳㑡㈸㐰攰昶昵〹㤱扢慤㍢㉦㈸㐴㈴㔰㑣㐶扥㈶㑤㜶ㄳ愷戱㍡慣愲㉥㐹㤳摡慢㌷ㄹ㡣昳㔵㌲㈶㠳〳ㄳ㙢愲晥攰㑢㙦摤㘴搸㈶收㕥摡挶㥡㌶ㅡ慤晥敥㌵改〴挷つ愷㔶㤷㕥愶昶ㄳ㥣㤱㍥っ㔰戸っ㠱搰㜵昷愸敡挴㈵戱㕥戸㘸搵㠲㤵攲㡡戴捥慦〴㈸㠳㠶㉣㤵戸戵ㅤ㐹扦〲㐵晡㙥㠲㔱㠰㜲㌹㔷摣挳㐶挵㌲㔲慥㐰改㤴挱换㈹㐱捥㝥㈹㕥ㅥ㌴㡦㕡昵㐰㠶㐲㜹搸〴㐶㐲慤愶搰㌷㐴ㄲ昵㡣㙡愸㌰昶㤸㌳愰㔲挳㜲㠲昵ㄶ摦㜶㜰㐹㐸㐴㍢戲㘰摢挹〲㡡㠲戴㍣挸攰㌵㄰㑤㥢㌴挸㙥㥣㈰㈲戲㐱㠶㘶挷挸㘹㈲㘳晢っㄹ㠱昶㐹㈲㘴敢晤摤㘵〴㠹扤㤳㐸搹愹㉢㍦敥㐸戳㡤㙣昹㔰㥡㕤㠹㡤搳慦㈲戸㥡攰ㅡ㠲扤〰攲㑦㤰㜰㤴㜲挸愷㤳晥ち㍣敢搷ㄱ扣ㄲ〰昲㐹愷捣㠹㐴ㄵ㙤愸慤搸㤱㙣㌷〴㍢㔹ㄹ挵愱㈸愲㘵摣戴㌳㠷㙣㠵攸挸敡摣ㅥ扡㌶慦㜴散㙢扡搳㘶㜲㌹愴挸㡣愶挹戵㙥搲㌴戹ㄱ㙣摡愳摥扡〱㕤昵㌱㠲ㅢ〱捡晡慢〸愱㕣㘸昰㙥捤愲愷㐹昹戲㌰㡢㐲㘳愸㐷〵ㅦㄱ㌲㡦〰ㄹ㐲慥攳昸戲㘳㐳搳ㅣㅣ㌷㕦昶㌶昴扥敥晣ㅤ㈱扤㑤㙦敥攸ㅤ晡㡢㥥愷ㄵ㝤ㄳ搸㑢晣慥慢㡥戹ㄹ搵晡㙢〸㙥〱㘸搳㌱㍣㝤㍦㕦㑦㠱㌲㡢敤〴收㜶搳敢愲慣摣愵昵㔵愹㌴搰愰戹㘴㜸攷㘵〰て挶㠹㔹搸挲慥攷挹㍡づ戵㌵㔵挰昳换搵改㐲晦愸攷摡㉣摦戱㤱晤㤷㠵㘲挸攷戵扥㕣㥢㡤㥣㘱㙢㈶㝣㑥〹捡愱づ扥愳扢㤰㐸㜴㑡㤳ㄷ晢㘵㥦㉦㜷㈴㐹て㤲攴戵搸㔶晤㌶〰㐸〹昱㥢慥ㄲ㘵ㅦ㥢扤㑥㌵㑢㕢慣昴昰㘵㥣㑥摡㝣㠸ㅤ㜲㘴㈰㜴搸㑥挳㝦攰て搹㡢㤶摤ㄴㄶ〳昶㠲昴慡昰㉤㔸㜵㔹づ摤戲ㄴ㌵㍢戲攲㘵㈲㉢晡晡㍡捥搳ㄹ晥㌵㐵㈷㙤㔲㈲㤳摢㌳㉢㌳捥攲㉤愲愲ㅢ㤲㐲㈵挳㌵搴㤴㐰愴㍣戶摤ㄱ㌱㍤㠸㤸摢戱㜱晡㝥㠲㐹㠲〳〰㠵㕦㐲搲㙣㜵攳ㄹづ敢㕦愳㑢扢㔲挹㤵㠸〶攵㈲㝣戶慢戰㍡挸搷扣㥥攰㄰㐰㥢昹㐳〷㘴〶㈱㉡㤴㈷〸㔱㠵㌱捣戳㤶扣㐸ㅡ搸㘵㈲戰㌴搳昰〳搷㘶㘴㘹挸㥣㜵㑦戹挱慣攵慦㈲ㄲ㌵㙡㐶㤹晢㔶愴〳敡昲㘰晢戴㤵戹慢慢戲愶㥢㡢㙥〳愲敤挴散㜶㌸㤸㘳㍢㘰㑢慡戳戹㈶㤰㝡㍢ㅦ㘳〸㠱㥤㔶晥㔶㝡㘳户攴晤收愱㙦戸戵愳㑢㔶㔰㤷〳㘶挸㜴捣㤷㑣散㈲㈲〷戵㝥㜳㘹挵㤳㜲㜶挸㍣收㔹戵扡攵㐸㈲〳㌶㈶㠳㜵㜳昲㍣愲〴ぢ㉥㘳㠰慥㌳㘴㉥㜹㠶攳慦ㅡっ㈸慥敦㑥㍤愹戰㐸挱㥣戶ㅣㅦ慦㔱㔸㘴㝥搸㕣㕣㜱㉦㈲㘲摢戰㥤㘳挶慡扦㉤戰㐲愲て㤳㐲㡤搰㠴愶㠹㤲㔶敡ㄵ㍦㍣㤰攷㜲攴扤㍣㠱挲㔵慥㐰㥦㜹㠶昶愶㕤ㅦ挵㘸㘸愷㜳㑥㠳㠸ㅥ㌵ぢ晢㌲愵㌰㌹㔵扦㡢㝤摥〸㜰捦戱㌳㈷㕡㤱戹ㄷㄴ戳㉥搰换㥦㈱攳ㄵ㔹㌴〳㈱昴搱敤ち㐹㠵㘵愴ㅣ㜰㈰㌰捥愷㜶昲㉢㥢慡つ愹㙦㔷㉢㝢ㄴ㤱愴㐱㜳捥㔸㤶㜵挴愳㙤㈳搸ㄵ㍥搰㡣戵㡤扡ㅦ搵捤戸戶㙤㤰戴㐸㤶㡢㔵㠳ㄴ㍣搵〸摣㤳㤶愳㥢〰㡡晥愲㈲攳ㄲ㡡㡣㑢慡㘸搰㍣捤搰愰捡㜳㉣昷扣攱㔹挱㡡㙤㔵㑢㝣㘰昸㙥㕢搰㈴㤸㥣㤲㌷㑥戱捣ㄸ㙢戳收捦挰㘴昳㈷㠰敥〹挸㔱㙥ㅤ搱て捡搵㐴ㄱ晦㐴㡦㡥㈵〸ㄸ攵㈹搵摦㡣搱ち敡㜶〴㐴㡥㑡㤷攳㍢ㄸ㤷ㅦ㐶㐹㈸㠴㠸昵っㄲ㠱㔷㌰㈱攴改攲㉥㥡㘷ㅣ㉢〰昶㠸戱愳㔶㌰敢〳攵〰挸慡攳敤戵ち慢㠹㑥攳㑤慤㜰㐳㘷㔵㑡㑤㕣摦㔹㥦搴ㅢ慦摥愰㍡搴㈸〹㐵戲㔹㈳愵㔹㌶㤸攳㜶㔲㌵㐲㈹敥㔸摢㠸㉣户㘹㙢摦㈹㐵㕥㠰㘲㔲㌴㤳搳摦愲〸〵㠱摥㐸㐷搱㘷㥦㑤ㅥ㠹㠸つ㙤㠰㌲昵㔴㔸㌶ㄴ㠵〴㑦攰摡㐹㑤㤶愳㈷昰昷慥㈸㍢摦〸㔲㌵挶愵搱愸㘶慡㕥㥦㜷㘰㈵㔴つ慦戶㑤㔸ㅡ㙢ぢ㌵㡣攲捥㕥戵㝦戸扤〹㐶㡣搸㤰㘱㤱っ㍦㌰搸㄰捣㤵㠸愸搲㍡ㅢ攲㔶㌷㡢㑢㝣㍡㈹つ㐷㘱㘰㌱愸捤捡㌵㘵㠶戵㉣昹㔱搵愱㜹㕡㔴㜲㔴㌷愷㤶㝤愸昴㠰㜲㍣捡㈹〶搷捤搳㜴㑢攱ㄲ〳挴㙥㤴㕢愸〶〸敤㌶〷攰挹㘰晢㘰〷㍢ㄲ㠶㑥㘸㥤㔱㠲ㄶ㌳〸㌷扤〸昲㑥㡦ㄸ㠵㈰㌵㔵晡摢ㄱ昱搹㈷㤹扥㝥㈴ㄷ㘷㈲㈶㘲戸㉢挳㝡〰㜲㤳㤱㐹㜲搱㘸ㅣ㌰て㈵㥢ㄲ㕡㠳㜱ㄹ㑤㡣㈱㥡㝣㕥㠰㕢㍣㡣㘵つ㤳㙤敡戸攷ㄶ㔸搰愶昵昵㕤收〹愷㕡㙦搴愴㔲挵戱慣㔶ㅡ㜹㕢攰㑢㕤〱っ戹㈹㘳㕦愲㑤㌹㠱愳ㄴ㤷㑣㈴昵㙥㜷敢㐷搰㕤〹㌹㡣ㄱ慡㍥〶㈰㌳摣㜲㉡㈰搶㜱㑦㠱昶攱敥搶〵〶㜵㜹づ㈲慤愳㠸戲㙣づ昷昱㥡㔱㘴挵㙤㠹㘶㜳敥㥣㑢㥢㍤㔱㜴摣ち㡢戶〵㡥戰捥㔰攰ㄵ㡢㌰㐶㝡攴づづ㤲扢ㅣ㐵㜷㉦㍦慣ㅥ㜳㤷㠱ち㠵〱挱ㄸ㉦㑦㐱㌹散㉡ㄸ㠹〶户搶戲扡〵愳扦戴扣昵㈹〰挱㌰㌰つ㕡戴っつ㥣ㄹ攴㌷㌷㜰㙥㐰慢㡣〸㘹㌲㤸捡ㄸ攵㈸ㅣ昶㐰ㅡ戸㠹〷改㈵ㄷ㑡㈸搸愳㉥㠶挵㜷ㄳ挷㙤ㅣ㠱㕣敦慡戶挲〵㈳挰昵ㄷ㘷㙦㕢昱㔴慤㐶㜳ㄷ晥戹㙤㠱㔵㕣摤〸捤搱㍤㙤㤷戲搴㥡㘸摦摤搴㔶ㄱ㕤ㄶ㍣㌰㍢㜱摣〸慡㉢㡢挱㝡㜸㜱慢㔷㤲㈸晣〸晥㠸つ摦㑥㥢㌹敦昰㈲敡ㅡ昷扥㝣挱㜱㉦㍡㙡㕥〵㥦户晥㐰㈱戸㐲搹捦㐹㤶㜳晦挶㍦㤵戴㕣攱㠷ㄸ㜱㉢搳收〰㉤〷〹挷㔱㈹㤴〶㘳挸㘷搰〹㙣昷收慤〱搲挹㥥㌶㍡㔱㠲㘰㠷㔰㥣昳㉦ㅡ愱㠸ㅦ〰慤㈴㤶昰㐸㡥㍤晦ㅡ㔸㕦㝣ㅦ㈵㐴㌸㥥㈳㌱㔲戸ㄱ戹っ搴㈹㐱ㅥ㕤昱攰㠵㤰晦ㅦ㉣挵摣扣㈱㍢晤ㄷ㤸㔹㝣慦ㅤ㐵搷ㄳ㐵摦敤㐰㤱攰㌵㄰挵扦昷㈰ㄳ愷〲挳戳捦㉢㄰捥㌵敤ㅣ㐰㕦昲ぢ扦晦挳〳攸㕣㐴ㅣ捡㐶㐳愸敤㘶㍣㌷㑤㠴扥づㄳ㠱挱㝢㘵㈲㥣㐴㐶㌰㡡ㅦ㥡〸㤱て㘴ㅥ〵㥢㥢〸㡣敤㘵ㄸ㠲㠹㔰㙢挲慤挱ㄳ搸㔵㌶晤㘳挷㜱昱㔶晡㠸攷㐳㘹昹㌳昰㐸㕤摤㔹扣㘰㜸㠶扤㔷㤵ㅦ昳㈴㤴㤹户㠴㥢摣慡ぢ㝢㕣扢㘱㡤敡戴㠱慦㈲昶戲敦昸㔳戶㜶㝦ㅤ㤸ち㔳攸扥ㄷ㈵㔱㝣〱㥥ㄲ挱㜳㐳敥扤㝢扥㜱散昷て㍥㝡㠴户搵㈲㕡㉤摣㠶㝣㉦㈱㝢摡ㄳ〸敡㈶㉥㡡㕣挹て㜳㑥攲ㄳ㈵㙢戵㉥愷つ㑦㔹㐱扥㙥挷搹㤰昰ㄲ㠴ㄹㄲ摦㜶㌰㌱㜱敦㈱㌴㌱㈷摡摣㥤敡挳㈶攵㈲㥣㐸㑣㕣昹昴攲戰愱攸慡挸㝡戴㌶ぢ摦㠲㉡㝡㥥ㄳ㐹㕢㠹㍣㜵㌲〹昱捤㜶㕤㜷㤰扡㉥㍣挸㌰散ㅦ㑢㈹挴ㅦ㐸㈱挹㠳っ㉦〴㈸㈹㜵ㅡ㤹挲敤〰ㄹ㤱戵昶㄰㉦晤〱㍢㐲㐰㌶㉦晤昵昸ㄱぢ㜶ㄱ㔸㡣㝤昱扤㥥㘸㘹㡢挶慡㠹愱㕡㘵搳㉣㈲愳づ㉦㉣㤸㡣㑢㔳㤶捥〱㤴㙥搹ㅤ挵㤷っ搹㘱攰㉤㘴散㠲㑤㕦㕢搹扥摢㘹攰收〷昴㑣㔱㈹っ㘷㌷㡢㜱㈰㔵㌱扡戰㘹㌹㉣㈲ㅣづ戳捤㑥〳㔱ㄵ㜴㤶戳ㄷ愷㔲〴晦昸愵㄰敢挷㕢㐳㕦搹㕥㐳ㅤ攷昴㘳㠱晣挱晥扡㍥㠳戱昱㔶㜲っ㈴散㤶㕡㤵挲敢攱㘷搰㠵㡢捥〹扤㤵㔵捦攲㈰晥挴㥣搵愷㜵攸㝦㐶慦ㄵ㘷㥤㘵㙦㠶戱㔳晡晦敤㈸搸㔴晦ぢ挶摥ㄴ㈲摦ㄱ㘵昸㔰㘰晣㘴搳㤰つ㜷〴㥥㙤〴㙦搴挱㔸㔷㔹㠶扣挳摣㈲㍥㕥つ慢㤵〴㠷摦㉢摦㝥㌵愲搹㤷戶敤㐰㔷〱挸搸㔰攱㙢㄰㐱㕤晢愷攵㔶㝣扡㉤扥ぢㅤ昷㥣戴慡㥥敢扢㘶㌰戶㠸愰敦ㄸ扦㍤㌳㘱昳㑣㠹慦戴ぢ戵㥢戰ㄳ㠳敦㐱㥦㔳昳㄰搸愷㘴昰㘲挵㈲ㄹ㔹搸㕡㈴㠳摦㈱㡤㈴挲㑢搴づ晥ㄵ收扤つ愳㡥㑦㔷攷攱敢っ㔸戴㉤㤴㕤攸㜱㙥扦愱挱慤挳ㅤ慤户挱ㅦ㈴敢ㄳ〸㡥愹㈵扣敢㍤摣搷昶㍤㐸户㡤搶收戳㘵㙦㍥户㜲攱㘹攰㜴㙢㙦㐹㤳っ摦挹㉦㤲换㝡㠵㄰㤷昶㡦攰敦搶ㅤ戴ㅣ㙤ㄴ㜴ㅥ㝤搰㑤㐷搸㜸ㅤ敥戳㉤㐴扦捦愱慢㤸㈲挰㑦㌷愲っㅦ〴扤㝣㘴㐵昱〵㉣㡢っ㠰㝣慥㔸〵攸㑥搵㑦㙤㐴搵㈳戱㐰ㄶ㍣㘳㤰ㅣ换攲㜳㘸挸敤ち㤷つ㤶攰戲㠵㍡㑢㈰慦挷㍤㤰捦〹㥥㈵搴㐴㍥㠳づ捤㠹㔸㈸敤㍥㤱㑦㙦㌴ㄱ㐱㉢㐰㉤㌴㌹晥㐸慣㐵昴㍡慡㜵㥢挰㈱㜰〱㠶㈹ㄶ㈹㙢㡡㘱㘸攱晢挴っ搲慦愲扦捦ㅤ昹攵戳㑣㝦㍤㈲㤴㈰㐴㔵㝡昲ㄴ㠴㙡昲㡦㈷㈷敦愱戴晢攴ㅦ摢㘸昲㈳㤴㤱㥣㠹ㅥ〰っ昵㠹ち晥愸挵㌴㤰攱㍥昲㈷捥ㄱ攰㤷㥡挵㠸㠱ㄲ搵昷㈲㌲攸换つ㔷慤㉥㈱ㄳ昷㉤㜰晤ㄹㅦ昷㈸晢㠸ㄷ㈱改换㈹㠶捥搸㘲愸ㄵ㑢㜶攴㠵摤ㄶ戲〱㑢攲搷戲㕤㐵㝡戱挷〸扦昸㔰㡣㤸攳挷攳㉦愷戴㈸收〴挲〸㉤㔲搲て㌷㔲㝣㌰㙥晣敤㘷㕡㉥㔳㔴㈰㠱㝡挲挶愴㌳搵昸〳㜱攳〳昸㉡㑢戵挹昱〶〱搳㜳㜱㘳搲愳㙡晣㘸摣昸㉦〷昶㌶ㅢ挷㜴ㄸ㡥㕣㈰㤱㘴搸扡捡晡㑦㝣愱㍤㡣收〵㤳晡㜳挰っ㡢㈹㌹㔵攸戸慥㌴攸㈰㉥㠳㜸昸㐶㝡づ㜷㥢㜰〵〴㐲㌶晣㕦㈵㥣挰㥤愷㔹㈳㌰昰〹昴ㅡ㠲捤㥥慥㥥搸戹㘸捥㝢㈸攸㌷㑦昸㌸㔳搵戶ㄵ㠹挰ㅣ挸㠷晢扢㠹㔳㍥挳㜴㙣敤㐷ㅣ㈴搳㜸㠷愴㌷攵愱〲㉢㜹昱扥ㄸ戳戹㐷㕡㌴愳㍦っ攴㐰㍡〲㌲愳㍦〲ㄸ〶㘲㜸㕢㌹㌷㐲晥㔷捣晤㍥㔶扣㥦攰㔱㠰戲㈰戳㤳づ㡡ㅦ〰搸〳㉢ㄵ晦慢ち㝦慣㈶挷㔶㍤戹㘶昹㍦昹戲慢㠹〷攳㌷㈶㘹㐹晦㄰㝢㝤ㄸ愰て㍥㕣ㄱ㔱㘲㔹晦〸㑡㤲㙦愶昴㔰㙦晥㈸㉢㍥㐶昰ㄸ㐰戹挰ㄹ㙦㜹敢戸戰ㅥ搵搷挷搱㔵㍣㐲㠰㥦晥㜸㤴攱㐳㠱㥢昱愶敥〶㌳捦挳昱搷晤㠸㜷愶㍥攳扦ㅢ㥦攵慦㜳搱㝤昸扦㤲ㄴ㤴㜵㥦搷摥搸摢㔸攴〴ㅡ收敡户㡡捤㝥〱攳㜰㕤慤㌰ち㐷愴㘶㈹㘹㐵㐱愴㜳挱挲挵ㅢ昸㤶挳慡㐲〸ㄲ㠲慡㜰愲㡡㈳㈸搰㍦挱愶挴㌱昱愴㝦㤲㑦㐴慤摡挴㑦㐵ㄹ㍥〸攲㔵㜵扦㍦敡ㅥ扦㤰戸㔶ㄵ㔶摢ぢ㠹㝦㔵戱㤲㝣攱㤳ㅣ㑣㈱ぢ㤹戴㙡㈲搲ㄴつ㝤づ㤹愱扥㘱捥敤㍥晣戴㑢愲㝡慥㜶敥摣㍦㠷昳㘳搷收摦晥搶挱㈷㥦晢挵ㅦ㥥昸昵扢て晦昹㕦㑦㍤昵敢㍦㍥昱散扦㝥戴㝣昸㘷㑦㍦晤搳㝢扥昸散ㅦ㜶㥢㕦搲㥥昹攷摣㤷ㅥ㥡扣昰搰〳收㤹摢㡥㍤昴㡥晢敦㥤㕣戸㘲扣慦慦扦晦㤶搱㥦㕦㜳敢挸㈳て㝣㑦晣昸户㔷㍢㐲㉤ㄷ㉦㐸㑦㠳换㔶搳昸㍣㌲㤸〶㘷晣㤲㑥㠳换㔵ㅢ戵ㅣ㙤搴㌴ち㑡㜰㙣㜰〲慡挲㐸㔷っ晣〷慣捤戴㠳</t>
  </si>
  <si>
    <t>a78e4722-ba61-496f-8aea-7eab1baa3de2</t>
  </si>
  <si>
    <t>㜸〱敤㕣㕢㙣ㅣ㔷ㄹ摥㌳摥㕤敦慣敤搸㡤搳㑢㑡㘹つ愵㤴搶挱㡤搳㠶㔲㈰〴㕦㥡㑢㜱㘲㌷㜶㔲㄰愰捤㜸昷㑣㍣捤捥㡣㍢㌳敢挴愵㔲慢㔲㙥攲㔲愹㕣㐴㘹戹愸㈰㈴㕥戸㍣〰攵昲㠲〰㠱㔰㤰㄰㠲〷㄰て〵㈱㜸〰愱㐸扣昰㠰〴摦㜷㘶㘶㜷㘶搷㍢㜶户㉤戸挸㈷摤摦㘷捥㙤捥㌹晦昵晣晦㤹收㐴㉥㤷晢㌷ㄲ晦㌲攵㤹戹㙥㜱摤て愴㍤㌱攳搶敢戲ㅡ㔸慥攳㑦㑣㜹㥥戱㍥㘷昹㐱ㅦㅡㄴ㉢ㄶ敡晤㐲挵户ㅥ㤴愵捡㥡昴㝣㌴㉡攴㜲愵㤲慥愱㥥㠳昰㌷ㄲ㍦攸散㌵㤸〷㔸㥡㤹㥥㕦扥ㅦ愳㉥〶慥㈷昷㡤㥤〹晢ㅥ㥡㥣㥣㤸㥣㌸戸晦捥〳ㄳ晢昷㡤捤㌴敡㐱挳㤳㠷ㅣ搹〸㍣愳扥㙦㙣愱戱㕣户慡㙦㤷敢㑢敥㜹改ㅣ㤲换晢㙦㕦㌶敥㜸攳攴ㅤ〷て㥡㜷摤昵挶㐱扣㍡㜷㜲㘶㝡挱㤳愶晦㈲㡤㔹攰㤴敦㤸㤵㔵㡢㙢㤳搲戳㥣㜳ㄳ㌳搳昸㉦㌱㝦㍣摤㌹戱戸㈲㘵挰㔷㑢㑦㍡㔵改敢攸㌸㘰㑦昹㝥挳㕥攵收改昶ㄱ㉣戵㙡昸㐱挱㥥㤱昵扡㙥挷愳㤶散㜹散㕤摤㔸ㅦ戴ㄷ愵攳㕢㠱戵㘶〵敢㐵㝢〹〳搵㠶散搳扥㍣㘵㌸攷攴㐹挳㤶〵晢㘸挳慡攵挳㤴敢扢㌹ㅥ㈲㌹㌱戵晣㠹㈹摦㥥㔹㌱㍣㌵㈳㥦ㅢ㤳搱昶㠸㔷㑤户扤戱晢戸㥣扡㝡〳挷扣愹㝢㍢搴㥣㌱扣㘶换昱敥㉤愳挵愷㘷㜰㕢昷昶㠹㍤㑡昷戹愵㝢ㅦ戵㤵改搶㘲㈰愲㙦戵愳㔸㡣㕥㈴攸㈷㈸ㄱ㄰㠱㝡㤹㘰㠰㘰㄰㐰攴晦〱㉥㐹㜶㘴㤵㔶㌱戴捡戲㔶愹㙡㤵㥡㔶㤱㕡挵搴㉡攷戴捡㡡㔶戱戴捡晤㕡攵㍣摡挴愹搴摦慦㐵改愹慦㝢㡦〶㤷㝥㌷晢㙣昱㔷摦扡攵㡥敦晦㘴㜰ㄷㅡ摤ㅢ㑤㙡搶㌳㉥㠰搴㕡㔴っ㡥攰扦捤戹〲㑣㘱ㅥ㌴敦㌴㈷㈷㙢〷昷ㅢ户ㅢ〵㉥㉢〳昹㈹㐲ㄹ㐱摢㐱昳㍥换愹戹ㄷㄴ敥慥㥢㌶㝣搹摡戸昱愸㙥摡㙤㌸㌵晦ㄵㅢ㔷㉥〶㐶㈰慦㙤慦㙢つ搲搱㙤ㄱ㙣㈵㝤昵扥敢摢扢㥤㌱敡つ㌹㜵搱ち慢㕦搹㔶㙤㉦㜸敥㜲昷摡㈳㥥㝣愰㔹摢㌱愳㈹〸戵㌵㌵㜶挷㉡挳慡㜰㕥㘳㌳㉢慥㉦ㅤ㌵扤㜱㝢挱慡㥥㤷摥愲愴㐸㤴㌵戵搴㉢㔹ㄵ㜱晤昸扣㠳㠵㠲㕢㙢慦㑥㤶㥡㜷㕦っ挰捣戲㠶昹慥㑡㉦㔸㕦㌲㤶敢昲慡㔴㤳昰㥤愸搸㥢㉡㍥攲㔶ㅢ晥㡣敢〴㥥㕢㑦搷㑣搵搶っ㐸㥡摡〹户㈶昳昹㥣ㄲち㄰戸㝤㝤㐲攴㙥敤捥ぢちㄱ〹ㄴ㤳㤱慦㐹㤳摤挴㈹慣づ慢愸㑢搲愴昶㥡㑤〶攳㝣㤵㡣挹攰挰挴㥡愸㍦昸搲搷㙤㌲㙣ㄳ㜳㉦㙤㘳㑤ㅢ㡤㔶㝦昷㥡㜴㠲㘳㠶㔳慢㑢㉦㔳晢〹捥㐸ㅦ〶㈸㕣㠶㐰攸扡㝢㔴㜵攲愲㔸㉦㕣戰㙡挱㑡㜱㐵㕡攷㔶〲㤴㐱㐳㤶㑡摣摡㡥愴㕦㠱㈲㝤㌷挱㈸㐰戹㥣㉢敥㘱愳㘲ㄹ㈹㔷愰㜴捡攰攵㤴㈰㘷扦ㄴ㉦て㥡㐷慣㝡㈰㐳愱㍣㙣〲㈳愱㔶㔳攸ㅢ㈲㠹㝡㐶㌵㔴ㄸ㝢捣ㄹ㔰愹㘱㌹挱㝡㡢㙦㍢戸㈴㈴愲ㅤ㔹戰敤㘴〱㐵㐱㕡ㅥ㘴昰ㅡ㠸愶㑤ㅡ㘴㌷㑥㄰ㄱ搹㈰㐳戳㘳攴㌴㤱戱㝤㠶㡣㐰晢㈴ㄱ戲昵晥敥㌲㠲挴摥㐹愴散搴㤵ㅦ㜷愴搹㐶戶㝣㈸捤慥挴挶改㔷ㄱ㕣㑤㜰つ挱㕥〰昱㘷㐸㌸㑡㌹攴搳㐹㝦〵㥥昵敢〸㕥〹〰昹愴㔳收㐴愲㡡㌶搴㔶散㐸戶ㅢ㠲㥤慣㡣攲㔰ㄴ搱㌲㙥摡㤹㐳戶㐲㜴㘴㜵㙥て㕤㥢㔷㍡昶戵摤㘹㌳戹ㅣ㔲㘴㐶搳攴㕡㌷㘹㥡摣〸㌶敤㔱㙦摤㠰慥晡ㄸ挱慢〰捡晡慢〹愱㕣㘸昰㙥捤愲愷㐹昹戲㌰㡢㐲㘳愸㐷〵ㅦㄱ㌲㡦〰ㄹ㐲慥攳昸戲㘳㐳搳ㅣㅣ㌷㕦昶㌶昴扥敥晣ㅤ㈱扤㑤㙦敥攸ㅤ晡㡢㥥愷ㄵ㝤㈳搸㑢晣扥慢㡥戹〹搵晡㙢〹㙥〶㘸搳㌱㍣㝤㍦㕦㑦㠱㌲㡢敤〴收㜶搳敢愲慣摣愵昵㔵愹㌴搰愰戹㘴㜸攷㘴〰て挶昱㔹搸挲慥攷挹㍡づ戵㌵㔵挰昳换搵改㐲晦㠸攷摡㉣摦戱㤱晤㤷㠵㘲挸攷戵扥㕣㥢㡤㥣㘱㙢㈶㝣㑥〹捡愱づ扥扤扢㤰㐸㜴㑡㤳ㄷ晢㘵㥦㉦㜷㈴㐹て㤲攴ㄶ㙣慢㝥㉢〰愴㠴昸㑤㔷㠹戲㡦捤㕥慦㥡愵㉤㔶㝡昸㌲㑥㈷㙤㍥挴づ㌹㌲㄰㍡㙣愷攱㍦昰㠷散㐵换㙥ち㡢〱㝢㐱㝡㔵昸ㄶ慣扡㉣㠷㙥㔹㡡㥡ㅤ㔹昱㌲㤱ㄵ㝤㝤ㅤ攷改っ晦㥡愲㤳㌶㈹㤱挹敤㤹㤵ㄹ㘷昱ㄶ㔱搱つ㐹愱㤲攱ㅡ㙡㑡㈰㔲ㅥ摢敥㠸㤸ㅥ㐴捣㙤搸㌸㝤㍦挱㈴挱〱㠰挲㉦㈰㘹戶扡昱っ㠷昵慦搱愵㕤愹攴㑡㐴㠳㜲ㄱ㕥敡㉡慣づ昲㌵㙦㈰戸ㄳ愰捤晣愱〳㌲㠳㄰ㄵ捡ㄳ㠴愸挲ㄸ收ㄹ㑢㕥㈰つ散㌲ㄱ㔸㥡㘹昸㠱㙢㌳戲㌴㘴捥扡㈷摤㘰搶昲㔷ㄱ㠹ㅡ㌵愳捣㝤㉢搲〱㜵㜹戰㝤摡捡摣搵㔵㔹搳捤㐵户〱搱㜶㝣㜶㍢ㅣ捣戱ㅤ戰㈵搵搹㕣ㄳ㐸扤㥤㡦㌱㠴挰㑥㉢㝦㉢扤戱㕢昲㝥昳搰㌷摣摡搱㈵㉢愸换〱㌳㘴㍡收㑢㈶㜶ㄱ㤱㠳㕡扦戹戴攲㐹㌹㍢㘴ㅥ昵慣㕡摤㜲㈴㤱〱ㅢ㤳挱扡㌹㜹づ㔱㠲〵㤷㌱㐰搷ㄹ㌲㤷㍣挳昱㔷つ〶ㄴ搷㜷愷㥥㔴㔸愴㘰㑥㕢㡥㡦搷㈸㉣㌲㍦㙣㉥慥戸ㄷ㄰戱㙤搸捥㔱㘳搵摦ㄶ㔸㈱搱㠷㐹愱㐶㘸㐲搳㐴㐹㉢昵㡡ㅦㅥ挸㜳㌹昲㕥㥥㐰攱㉡㔷愰捦㍣㐳㝢搳慥㡦㘲㌴戴搳㌹愷㐱㐴㡦㥡㠵㝤㤹㔲㤸㥣慡摦挵㍥㙦〲戸攷攸改攳慤挸摣ぢ㡡㔹ㄷ攸攵捦㤰昱㡡㉣㥡㠱㄰晡攸㜶㠵愴挲㌲㔲づ㌸㄰ㄸ攷㔳㍢昹㤵㑤搵㠶搴户慢㤵㍤㠲㐸搲愰㌹㘷㉣换㍡攲搱戶ㄱ散ちㅦ㘸挶摡㐶摤㡦敡㘶㕣摢㌶㐸㕡㈴换挵慡㐱ち㥥㙡〴敥〹换搱㑤〰㐵㝦㔱㤱㜱ㄱ㐵挶㐵㔵㌴㘸㥥㘲㘸㔰攵㌹㤶㝢捥昰慣㘰挵戶慡㈵㍥㌰㝣户㉤㘸ㄲ㑣㑥挹ㅢ愷㔸㘶㡣戵㔹昳愷㘱戲昹ㄳ㐰昷〴攴㈸户㡥攸〷攵㙡愲㠸㝦愲㐷挷ㄲ〴㡣昲㤴敡㙦挱㘸〵㜵㍢〲㈲㐷愵换昱ㅤ㡣换て愳㈴ㄴ㐲挴㝡〶㠹挰㉢㤸㄰昲㜴㜱ㄷ捤搳㡥ㄵ〰㝢挴搸ㄱ㉢㤸昵㠱㜲〰㘴搵昱昶㕡㠵搵㐴愷昱愶㔶戸愱戳㉡愵㈶慥敦慣㑦敡㡤搷㙣㔰ㅤ㙡㤴㠴㈲搹慣㤱搲㉣ㅢ捣㜱㍢愹ㅡ愱ㄴ㜷慣㙤㐴㤶摢戴戵敦㤴㈲㉦㐰㌱㈹㥡挹改㙦㔵㠴㠲㐰㙦愴愳攸戳捦㈶㡦㐴挴㠶㌶㐰㤹㝡㉡㉣ㅢ㡡㐲㠲挷㜱敤愴㈶换搱ㄳ昸㝢㔷㤴㥤㙦〴愹ㅡ攳攲㘸㔴㌳㔵慦捦㍢戰ㄲ慡㠶㔷摢㈶㉣㡤戵㠵ㅡ㐶㜱㘷慦摡㍦摣摥〴㈳㐶㙣挸戰㐸㠶ㅦㄸ㙣〸收㑡㐴㔴㘹㥤つ㜱慢㥢挵㈵㍥㥤㤰㠶愳㌰戰ㄸ搴㘶攵㥡㌲挳㕡㤶晣愸敡搰㍣㉤㉡㌹慡㥢㔳换㍥㔴㝡㐰㌹ㅥ攵ㄴ㠳敢收㈹扡愵㜰㠹〱㘲㌷捡㉤㔴〳㠴㜶㥢〳昰㘴戰㝤戰㠳ㅤ〹㐳㈷戴捥㈸㐱㡢ㄹ㠴㥢㕥〴㜹愷㐷㡣㐲㤰㥡㉡晤晤戰昸散㤳㑣㕦㍤㥣㡢㌳ㄱㄳ㌱摣㤵㘱㍤〰戹挹挸㈴戹㘸㌴づ㤸㠷㤲㑤〹慤挱戸㡣㈶挶㄰㑤㍥㉦挰㉤ㅥ挶戲㠶挹㌶㜵摣㜳ぢ㉣㘸搳晡晡㉥昳戸㔳慤㌷㙡㔲愹攲㔸㔶㉢㡤扣㉤昰愵慥〰㠶摣㤴戱㉦搱愶ㅣ挷㔱㡡㑢㈶㤲㝡户扢昵挳攸慥㠴ㅣ挶〸㔵ㅦ〳㤰ㄹ㙥㌹ㄵ㄰敢戸愷㐰晢㜰㜷敢〲㠳扡㍣〷㤱搶㔱㐴㔹㌶㠷晢㜸捤㈸戲攲戶㐴戳㌹㜷捥愵捤㥥㈸㍡㘶㠵㐵摢〲㐷㔸㘷㈸昰㡡㐵ㄸ㈳㍤㜲〷〷挹㕤㡥愲扢㤷ㅦ㔶㡦戹换㐰㠵挲㠰㘰㡣㤷愷愰ㅣ㜶ㄵ㡣㐴㠳㕢㙢㔹摤㠲搱㕦㕡摥晡ㄴ㠰㘰ㄸ㤸〶㉤㕡㠶〶捥っ昲㥢ㅢ㌸㌷愰㔵㐶㠴㌴ㄹ㑣㘵㡣㜲ㄴづ㝢㈰つ摣挴㠳昴㤲ぢ㈵ㄴ散㔱ㄷ挳攲扢㠹攳㌶㡥㐰慥㜷㔵㕢攱㠲ㄱ攰晡㡢戳户慤㜸慡㔶愳戹ぢ晦摣戶挰㉡慥㙥㠴收攸㥥戶㑢㔹㙡㑤戴敦㙥㙣慢㠸㉥ぢㅥ㤸㥤㌸㘶〴搵㤵挵㘰㍤扣戸搵㉢㐹ㄴ㝥〰㝦挴㠶㙦愷捤㥣㜷㜸ㄱ㜵㡤㝢㕦㍥敦戸ㄷㅣ㌵慦㠲捦㕢㝦愰㄰㕣愱散攷㈴换戹㝦攳㥦㑡㕡慥昰㝤㡣戸㤵㘹㜳㠰㤶㠳㠴攳愸ㄴ㑡㠳㌱攴㌳攸〴戶㝢昳搶〰改㘴㑦ㅢ㥤㈸㐱戰㐳㈸捥戹ㄷ㡤㔰挴昷㠰㔶ㄲ㑢㜸㈴挷㥥㝦〵慣㉦扥㡢ㄲ㈲ㅣ捦㤱ㄸ㈹扣ち戹っ搴㈹㐱ㅥ㕤昱攰㠵㤰晦ㅦ㉣挵摣扣㈱㍢晤ㄷ㤸㔹㍣摢㡥愲敢㠹愲敦㜴愰㐸昰ㅡ㠸攲摦㝢㤰㠹㔳㠱攱搹攷ㄵ〸攷㥡㜶づ愰㉦昹㠵摦晦攱〱㜴㉥㈲づ㘵愳㈱搴㜶ㄳ㥥㥢㈶㐲㕦㠷㠹挰攰扤㌲ㄱ㑥㈰㈳ㄸ挵て㑤㠴挸〷㌲㡦㠲捤㑤〴挶昶㌲っ挱㐴愸㌵攱搶攰〹散㉡㥢晥戱㘳戸㜸㉢㝤挴昳愱戴晣ㄹ㜸愴慥敥㉣㕥㌰㍣挳摥慢捡㡦㝡ㄲ捡捣㕢挲㑤㙥搵㠵㍤慥摤戰㐶㜵摡挰㔷ㄱ㝢搹㜷晣㈹㕢扢扦づ㑣㠵㈹㜴摦㡢㤲㈸扥〰㑦㠹攰戹㈱昷摥㍤㕦㍢晡㠷〷ㅦ㍢捣摢㙡ㄱ慤ㄶ㙥㐵扥㤷㤰㍤敤〹〴㜵ㄳㄷ㐵慥攴㠷㌹㈷昰㠹㤲戵㕡㤷搳㠶愷慣㈰㕦户攳㙣㐸㜸〹挲っ㠹㙦㍢㤸㤸戸昷㄰㥡㤸ㄳ㙤敥㑥昵㘱㤳㜲ㄱ㑥㈴㈶慥㝣㝡㜱搸㔰㜴㔵㘴㍤㕡㥢㠵㙦㐰ㄵ㍤捦㠹愴慤㐴㥥㍡㤹㠴昸㝡扢慥㍢㐸㕤ㄷㅥ㘴ㄸ昶㡦愵ㄴ攲て愴㤰攴㐱㠶ㄷ〲㤴㤴㍡㠵㑣攱㌶㠰㡣挸㕡㝢㠸㤷晥㠰ㅤ㈱㈰㥢㤷晥㝡晣㠸〵扢〸㉣挶扥昸㕥㑦戴戴㐵㘳搵挴㔰慤戲㘹ㄶ㤱㔱㠷ㄷㄶ㑣挶愵㈹㑢攷〰㑡户散㡥攲㑢㠶散㌰昰ㄶ㌲㜶挱愶慦慤㙣摦敤㌴㜰昳〳㝡愶愸ㄴ㠶戳㥢挵㌸㤰慡ㄸ㕤搸戴ㅣㄶㄱづ㠷搹㘶愷㠱愸ち㍡换搹㡢㔳㈹㠲㝦晣㔲㠸昵攳慤愱慦㙣慦愱㡥㜳晡戱㐰晥㘰㝦㕤㥦挱搸㜸㉢㌹〶ㄲ㜶㑢慤㑡攱昵昰搳攸挲㐵攷㠴摥捡慡㘷㜱㄰㝦㘲捥敡搳㍡昴㍦愳搷㡡戳捥戰㌷挳搸㈹晤晦づㄴ㙣慡晦〵㘳㙦ち㤱敦㡣㌲㝣㈸㌰㝥戲㘹挸㠶㍢〲捦㌶㠲㌷敡㘰慣慢㉣㐳摥㘱㙥ㄱㅦ慦㠶搵㑡㠲挳敦㤵㙦扦ㅡ搱散㑢摢㜶愰慢〰㘴㙣愸昰ㄵ㠸愰慥晤搳㜲㉢㍥摤ㄶ摦㠵㡥㝢㑥㔸㔵捦昵㕤㌳ㄸ㕢㐴搰㜷㡣摦㥥㤹戰㜹愶挴㤷摢㠵摡㡤搸㠹挱昷愰捦挹㜹〸散㤳㌲㜸戱㘲㤱㡣㉣㙣㉤㤲挱敦㤰㐶ㄲ攱㈵㙡〷晦ち昳摥㠶㔱挷愷慢昳昰㜵〶㉣摡ㄶ捡㉥昴㌸户摦搰攰搶攱㡥搶摢攱て㤲昵〹〴挷搴ㄲ摥昵ㅥ敥㙢晢ㅥ愴摢㐶㙢昳搹戲㌷㥦㕢戹昰っ㜰扡戵户愴㐹㠶敦攴ㄷ挹㘵扤㐲㠸㑢晢㠷昱㜷敢づ㕡㡥㌶ち㍡㡦㍥攸愶㈳㙣扣づ昷搹ㄶ愲摦㘷搱㔵㑣ㄱ攰愷ㅢ㔱㠶て㠲㕥㍥戲愲昸㍣㤶㐵〶㐰㍥㔷慣〲㜴愷敡愷㌷愲敡㤱㔸㈰ぢ㥥㌱㐸㡥㘵昱ㄴㅡ㜲扢挲㘵㠳㈵戸㙣愱捥ㄲ挸敢㜱て攴㜳㠲㘷〹㌵㤱捦愰㐳㜳㈲ㄶ㑡扢㑦攴搳ㅢ㑤㐴搰ち㔰ぢ㑤㡥㍦ㄲ㙢ㄱ扤㡥㙡摤㈶㜰〸㕣㠰㘱㡡㐵捡㥡㘲ㄸ㕡昸㉥㌱㠳昴换攸敦㜳㠷㝦㜱㠹改㙦㠷㠵ㄲ㠴愸㑡㑦㥥㠲㔰㑤晥昱攴攴㍤㤴㜶㥦晣挷㌶㥡晣〸㘵㈴㘷愲〷〰㐳㝤愲㠲㍦㙡㌱つ㘴戸㡦晣㠹戳〴昸愵㘶㌱㘲愰㐴昵扤㠰っ晡㜲挳㔵慢㡢挸挴㝤ぢ㕣㝦挶挷㍤捡㍥攲㐵㐸晡㜲㡡愱㌳戶ㄸ㙡挵㤲ㅤ㜹㘱户㠵㙣挰㤲昸戵㙣㔷㤱㕥散㌱挲㉦㍥ㄸ㈳收搸戱昸换㈹㉤㡡㌹㠱㌰㐲㡢㤴昴挳㡤ㄴㅦ㠸ㅢ㝦昳摢㉤㤷㈹㉡㤰㐰㍤㘱㘳搲㤹㙡晣晥戸昱〱㝣㤵愵摡攴㜸㠳㠰改戹戸㌱改㔱㌵㝥㉣㙥晣搷〳㝢㥢㡤㘳㍡っ㐷㉥㤰㐸㌲㙣㕤㘵晤㈷扥搰ㅥ㐶昳㠲㐹晤㌹㘰㠶挵㤴㥣㉡㜴㕣㔷ㅡ㜴㄰㤷㐱㍣㝣㈳㍤㠷扢㑤戸〲〲㈱ㅢ晥慦ㄲ㡥攳捥搳慣ㄱㄸ昸〴㝡つ挱㘶㑦㔷㑦散㕣㌴攷㍤ㄴ昴㥢挷㝤㥣愹㙡摢㡡㐴㘰づ攴挳晤摤挴㈹㥦㘱㍡戶昶㈳づ㤲㘹扣㐳搲㥢昲㔰㠱㤵扣㜸㌴挶㙣敥㤱ㄶ捤攸て〳㌹㤰㡥㠰捣攸㡦〰㠶㠱ㄸ摥㔶捥㡤㤰晦ㄵ㜳㍦捡㡡昷ㄱ㍣〶㔰ㄶ㘴㜶搲㐱昱晤〰㝢㘰愵攲㝦㔵攱㡦搵攴搸慡㈷搷㉣晦㐷㕦㜲㌵昱㘰晣挶㈴㉤改ㅦ㘴慦て〱昴挱㠷㉢㈲㑡㉣敢ㅦ㐶㐹昲捤㤴ㅥ敡捤ㅦ㘱挵㐷〹㍥〶㔰㉥㜰挶㕢摥㍡㉥慣㐷昵昵㜱㜴ㄵ㡦㄰攰愷㍦ㅥ㘵昸㔰攰㘶扣戹扢挱捣昳㜰晣㜵㍦攲㥤愹捦昸敦挶㘷昹敢㕣㜴ㅦ晥慦㈴〵㘵摤攷戵㌷昵㌶ㄶ㌹㠱㠶戹晡慤㘲戳㕦挰㌸㕣㔷㉢㡣挲ㄱ愹㔹㑡㕡㔱㄰改㕣戰㜰昱〶扥攵㤰慡㄰㠲㠴愰㉡㥣愸攲㌰ち昴㑦戰㈹㜱㑣㍣改㥦攴ㄳ㔱慢㌶昱㔳㔱㠶て㠲㜸㔵摤敦㡦扡挷㉦㈴慥㔵㠵搵昶㐲攲㕦㔵慣㈴㕦昸㈴〷㔳挸㐲㈶慤㥡㠸㌴㐵㐳㑦㈱㌳搴㌷捣戹摤㠷㥦㜶㔱㔴捦搶捥㥥晤攷㜰㝥散摡晣㍢摥㌶昸攴㜳㍦晦攳ㄳ扦㝥昷愱扦晣敢改愷㝦晤愷㈷㉥晤敢〷换㠷㝥晡捣㌳㍦扥攷ぢ㤷晥戸摢晣愲昶敤㝦捥㝤昱愱挹昳て㍤㘰㥥扥昵攸㐳敦扣晦摥挹㠵㉢挶晢晡晡晢㙦ㅥ晤搹㌵慦ㅢ㜹攴㠱㘷挵て㝦㝢戵㈳搴㜲昱㠲昴㌴戸㙣㌵㡤捦㈱㠳㘹㜰挶㉦改㌴戸㕣戵㔱换搱㐶㑤愳愰〴挷〶㈷愰㉡㡣㜴挵挰㝦〰慥戵戶㙡</t>
  </si>
  <si>
    <t>CB_Block_7.3.0.0:2</t>
  </si>
  <si>
    <t>Decisioneering:7.3.0.0</t>
  </si>
  <si>
    <t>㜸〱捤㔸ぢ㜴ㄴ搵ㄹ摥㍢搹摤散㙥ㅥ㐴〸㤴ㄲ〳ㄱ愴愸㠱㠵㄰㈳て㡢戰搹捤㈶㈱㑦搸〵㐲㡢㕤㘶㜷敦㘴㠷捣散挴㤹搹㤰昵㔱愴ち㐷㝣㔲㝣㐱挱搷㐱㔱昰搹㜲㕡㡦攵㘰〵搴㉡戵搴㥥㡡㐸ぢ搵㔲㐵㐵㌹愵㥣摡㈳攷搴搲晦扦㌳㜹㙤㘶〱㤱㥥攳㑤昶㥦㝢敦㝦敦㜷㕦晦敢㕥ㅢ戱搹㙣愷㈱攱ㄷ㤳ㅤ㌳ㄷ㠷搲㥡㑥㘵慦㕦㤱㈴ㅡ搳㐵㈵愹㜹㝤慡捡愷ㅢ㐵㑤捦㠱〶捥㠸〸㝣捤ㄱ搱挴敢愹㉢搲㐵㔵つㅡ㌹㙣㌶㤷换捤〱ㅦ㐱昰㔷搴㔳㜰㘳慦㝣㍢㤰戰扦扡㈵扡っ㔰㐳扡愲搲㠹㘵ぢ㡤扥戳㉡㉡扣ㄵ摥慡㈹搳愶㝡愷㑣㉣昳愷㈴㍤愵搲㔹㐹㥡搲㔵㕥㥡㔸搶㥡㡡㑡㘲慣㠱愶挳㑡〷㑤捥愲搱㈹㤵㔱晥捡改ㄵ㔷㔶㔵〹㌳㘶㑣捦㠷愱㙤慤晥敡㍡㉡㜵〲摥㠵㐲㜵〲㙡戳扦扡㔵愵挲㠵挲㜴攰㐶㑣ち搰㤸㠸㍢㐶愹㉡㈶摢扤晥㙡昸敦户㉢㔰㥡收㙤〹㠵㘲扣慥㔳ㄵ搷收㤶㕢㘲搱㠵扣㤴愲㑥㤹㑤挷㈵㉦攴搵㘶㕥愶〵昲〲㡤捥攷㤳敤ㄴ㑢づ戹㌶㈵挶敤㜰㡡㌹㤷㕢つ㘲㙥㤰户挵㕦敤㑦昰慡捥㈰㜱㠰㜲慢搶㙣㈴慦㌹つ搶㥥搵攰戶㤰㍣㔳㐶搸㜸㌸挳㕣㈴㉥㈰㑥㌷㤰㤱戵敡㥥挷〴㌱愶㤴挵㘹㔹㐰搴昰㔸昶㙣㔶捡㉡㠸晤摦㈰㙥晤㝢攷㐱㜳㉥挲㜳㤱㈸ㄷ㠹㜱㤱㌸ㄷ愱㕣㐴攰㈲敤㕣㈴挱㐵㐴㉥戲㡣㡢㜴㐰㥢㥥攴捡捤攵捣ㄴ搸昹㥤㥤搷扣戲戴攵戶㕢㌶㠶て慦ㅡ扥㌲ㅦ戱㥡㘱㜱摥㘶慡㕦㈰㈹㜰攰挲捥㝤㌳昳愱戵㐳㌶捥㈲㐰戵㤸ㅢて慡㍥ㄹ愷摤㑥挸挱〱收换㝥㈵愹搳㙥㍤挰敢㝣慥摣捡慢㌴愹扢愱㔱㌹敢㘵攴戰㘷〱慢敢改敤㌱㑢㠰㔰挴戲晤㔰昲㔸㠵㠱㐴㐰敦㜲散〶㜵㌹慤㌴戹㡥搷ㄲ㍡ㅦ㤵攸愵ㄹ㘷㡥晢〶㘲戶㐰ㄷ㈵捤ぢ㤰戵慡㤲敡挴ㅤ扤㔰㌸㑣㤲㔱㍡㥣〵㐰㤸摤挱㉦愴㌹敥㐲愰ㅥ㌷㌲摤挸㐴㥢〴ㅦ㑣㈶㉦㝦㈸攴㘱㡡〱㐵收挵攴〵㍡摣晣㘱〰㍡捦ㄴ攵㠰捡㉦〷㜵散㠳〶㕢㠴㝦㘷户㐷㘰㡥㠴㉡㘱㥡㔰㔱ㄱ慦㥡挲㔷昲づ搴㠳慦愳㔲㘳愰㝤扥扣㐸㑣挶㤵攵㑣挷ち攴㤰挸㈴㈷㠰㌶㌷㕦づ昳㙡㍢〵㜵㔵敢〳ㅥ㤹愹㘲㌸摤㐹昳㘴㥣㜳慢㈲㈶㜵㉤㕦㘶摦㔰㕡㡥㉡㔲㥥㔱〰〳慥愸ㅥ㤳〱愶摡捤摡㌷㡡㐹挸㈱つ㐱㥤㠷攵㔸㑢愳ㄲ㠱㘱昸㠴戲㍣㈸㑡㘰㝦㘸扣㠴㜵昳㉢慡㑡㈵ㅥ摤㠱㕦愱〲㈸户〸㤲㕢㈸〷㔵㐵づ搱愴挶㘶㌵㠲㌵㥤㑦摢㔵慡愱㠵ぢ㔰㥤〷㜱扡戸㥡搷㘸㥦〵㈹ㄷ㡣愵㔶㉢愹㘴㕣㉢戱㘶㠶㜴㕥愷愳㌲㜹㝤㈰㠳扡㠵挰㥡㔲㡤㙤摦攸捣㙥㑣昵㝣摤愲挱㉥捤㘰㠳㑤㔵愲搹戹㐱㤵㕥搷换ㅤ㌴㈳ㅦ㜸挸㉥㡡晣㐱慢㌴㔸挶扣捡晣〹㐵愳㐹㌶扤㜲戹㔵㡣㜵㔰㌵㐴搱扦搲㌸㕢敡㜰㘴挱㜶㈷㘳㔴㉢㙦㐹挲㐲挱愸挷挷昶慦ㄵ㙡扡㜵ち戶㈴づ昳〵㡢慡愷挳愸挷㈳〶㌴㌱挶〴挶㜷〷㔴〷㤵㔸㑡㐳㥢愱㉡搲㐰㡥㉦摥挵挳㤸昱㈶㈵㑥敤㌹㥣摤㐶搰㑦摢㤱搸散昰㠵〴捥㍣㈷〷㙣捡挴っ㡢挱ㅣㄷづ愳昵㜸㠹㝥㈲㡣㙥挲捡晥昴㐶ㄲㄳ戲愳戱㔳㐶㐱挴ㅦ昳㌷挵〳㤵ㄴ㘳ㄳ㐵㐵敤捤㈵戹㔹㜹㤶㘶㝢挰㝣㔱ぢ㝡挷㈰㠴㡣捣ㄸ㘶㍥㥣て㥣㠳㐴㜱㈸㉥搳㘲昶㕢㝦㥦㕣攲㜴捦㌰㜰扦㔳㐱搵挶搶㤷㥤㘵㈳㝡㘵敦晦摢㤸攳㠶㤹慢慦改〲捤慥攳㤳㜱㠹慡㘷㍣㐲㠲㌳㜲ㄷ㈳ㄹ㡥㘴〴㄰挷愷㘰扢捦昵㙣㌱㑡捣敤㐲扦ㄸ㠹㠰㥦㠱ㄲ捡ㅤ㜱㡥〴敡㙣攲㔵㄰㙦挷挷㠰㘷㜹挴㑣㑥㤳ㄸ昶㌰〴㑦㐷㔲㔹づ戶〹〴挳愱愱昱㐰㜰㜷㙥㉥ㅥ㥤〷㝥㘶攲㙣㥣㡤挰晦㔱㠰㐵㘸捦㤲㈵㑢㑣㕦挳搹ㅣㅦ㐱捤ㄹ㑥捦っ㠶㝡挴㘶昰昴㜱㄰㤰㈳㥢攳㐳〰捡㉡㑤㙣㤱摤㈴敤㔸㉥挶昵㠴㌳㐱挵昶㠴㡥㕤㕤㤰㜰扥慦㤸扦户挰㘷ㄶ㐲捣挸戹㑢愱挶㍤ㅡ〹㍡ぢ㡦挷昰㤳㑥㡦晢ㄲ愳㘸㐷て㙡㜵㔸扤晥ㅥ〳ㄹ㑦愳挲挷㠳㝣っ㠲敦㕣㌳昴㜶昹ㄵ戹ㄳ愲㄰戵〸㕢晡挱ち㠰㜵改ㄲ攳㔴㜵㘱〵晡〸㍢㐴摥㥡㤳搹㔰つ挲㡢ㅣ㥢挳㤱攷戲ㅡ慢扥〷敢㔲㔳㤲攰㌴㝡慦㄰昵㠳昰㍦㥦㌷㝤㌶㕥ㄱ㍣ㅥっ㡢摤㘳㤱㡣〳攲㐰㠹晡㕡挶㘶〸㜶㤵㕢㈵㐵挷昹ㄶ捡㝥ㄵ㙥㈸慡挸㌷㡡戲愸て敦㉤㌶愷攴㈸㔵挳挰㤰戴㘱扤戵慤㔴㡤㠱挰昳敤㜴ㄴ㔳攳㝥㐶慣㕣㔸㈸搲攵㘸㈱挶っ㘶㐱攴敤㑦㘹扡挲〲户搱㠳昹〱愵㔹搱㌱昸㤵昸昴愵ㄶ㙣㠳戳㈸㐱㤳攰〰㔴昰〳㘷㙢愴㜴㜶搲戸挵ㅣ㐳㑡ち㔶㔰ㅦ昸㌶戸㄰愶挰㜰ㅡ㌶挲㕣㠶换㥢摤戸昵摣㉣晡㥦ㄵ㥡〰㤷㡢〳ㄵ㈲攷㘷㡤㔰㥥ㅣ㠷㐰昹扥收挰搶慡晣〹〸㈶摡㡥㈱攰〲㠹〷㤳㡤愰愵㘳愶㘵㍣㘴㐶㤹㍦〷㥡㍥换㤰捦〸㔸㝢㙦㜸昵㜱㄰㌵㔱㑦㘳㌰㥣㡦搷扡戰㑡搹摤捤挵ち㉣昸㕡愴愸ㅤ㔱㐵改挰㙢㐴愱㡣㈵㉤㐱愹㡥㜷慤㍣搹戸㈸㘲ㅥ昶㈸㈷㘷挰㔵捡搴㍡㘴㘲戸捣㐲㘹攷〴挸攵〴搵ㄸ㉢㤱〳戰㌵㜸〵ㅢ㕢㝢昷㤳晣慦㤵晡摢㡦晤昸改㤲㙤戳㡥㤰㜷㑤㐶㐳昰搱㕤慤㈷㈶搴㙤㜹慣改搸摦晦㜴戰挶㠱㤶攷㥣㍣㕦ㄱ㌴ㅣ㈲昴㙡㐵㔸搴㈵㥡㈷㌰挱㘷㜹㤷〰㜲づ㜱㑦㍣㔷〸㈷㘰搵㠱〲愱㔶ㄵ攳㤲改㠳㡢㡤愶㡤戴ㅤ㘲㥣㔶㐵ㄳ㌱搴㉣㄰挲㉡㥦搴搰㐰㈵㘳改愱〳㑡捣㈰㌹㠴㙡㌱愹挱㌰㑣ㄳ㌱㍦㐴挰攰ㄵ㉣㑦㑡㑥搶昲㥤摡户㐲㉢㔰㘰㡣挴搴㠲㜰㠴攳㠸㡢㜳㥤愷㤴摢㥣攵㠰收㉥敢戹㘶㐳㠱戳㑤㐵㡡〴っ㉡〸慡〳扤挵ㄹ㝣㔹㐶㈴㠲㌳㠴㑢㐴㕦㄰㥡㘳㘵攱㝢愳㌷收昹㈷㘲㥦㐹㐰收搶㉥愸敦扢㌸㝤愳挷ㅣ〷晡户㜳づ㠹㔰ㄹぢつ挱挱㌰〹㉤戵㥢㥤㍦㤶㌲㠵搱㈳戰㌶㈸㤷㠵㝤搹㈰㐴挵昹㐲㈳ㅦ愵㔲㔰㔱㘵㕥㉦㌴ち㘸戸㘴㜰ㄴ㈶て㕣㥢捣愳愰攱挳〹㤸㉥㠹扡〴㕦㑡㔷㥡挴愴㕢〰挲愴搱慣攲扢愱㡡敦㘶㔵昹挲㝣扣收ㄸ摥ㄳ戰㤴㜶ㅥっ㕥㐲ㄶ㘳㉥㉣攰㔵攴㕢㈱愱㘰搴㔸捣てㅢ㡡㠹㠹㈹搸攱戲っ晢㙤㍣て挰㜱㝢挱㑤攲搶攱昱㠳ㅣ㜳挴〹㝦攴㍣㘳㐸㠸㤹㤸㜹㜲㑦〶㌴〷㝢㌶挴㌷っ㑣㈷㝡ㅥ㈷㑦慣㠰ㅡ挳〴㕦〲昵挸㜶㑦㌱㌳㔸㈸挲昸〱扢㍡㉢㠰㕣攴慦㡥ㄸ愶戲挷攲㍡㔱㌵ち愱扡㥦㡣ㄷ㘱戸㠱㝤摣㤵㐸昰摥㕥㠴㘶扤っ㑢㔵㐸慥㐲㌲つ挹㜴㈴㌳㤰捣㐴㜲㌵㤲敦㈳㤹㠵攴ㅡ㈴戳㤱捣㐱攲㐳㔲㡤挴㡦㈴㠰愴〶㐹㄰㐹㉤㤲㍡㈴昵㐸收㈲㘹㐰搲㠸愴〹㐹㌳㤰〲㈷㐱つ㘳㉢㙤㠱㑣㑦㜲攰㉥㥤昵㘰昰㌴㍤〲ㅥ㔱㐸㑦㑢愰ㄶ㤸㐵㤷㘲攴搸攵㥦搵戱㤰ㄹ摥っ敤㤹昱㙡㙦㕦っ㐹昳㉣㘳㜰攴愰〴㌸㕥〰昷㤱戵㍦慥愰㉦捣挷㍥㤸㥣昳㠰ㄴ㌷㠹㌱㔵搱ㄴ㐱㉦ぢ㠱愱㉦挳摢戲㘰戳㑤昱㤱攷〰㤱〵攸慣㌱㤰㜱戰ㄳ㐵㜸攲戸㌲㜷〸㐸㐱づ愹㠴て晡㕥㘷ㄸ㐸㘹㔸㠹㉢㕡ㄹ晣晢搴敢㔲㘲ㄷ㘴攰晤ㄱ㍣㐸㤴㤷ㄲ㡡ㅢ㥢㌸ㄷ〰㤹敡慦昱㔵㔷愲㑡戲昷っ扣晡㑡捡挲ㅦ昸㈶㌵昱扡㉡㕥ㅦ愷昸愰㈱㐶㐵㐹㡣昳㜱敡敤㤶戴㙥戲捤昴㡦敥㕢㤶㥤㜸敢㕦摢㥢ㅥ戴摤戰戸昸捥搵晢挸㔶㤳㤱昹ㅡ㐹㔰㝥㜰㙡㠶㘴愳ㅢ㌶㕣昰ㄳ㘶㠷㐱㉥昸㜱㤳㤱改㠲〹ち㘱㉦㤲昳㕡㈸攵昸㌴搹㐰㝢捣散㜴昸敤晤㤳搷ㅦ㝦搵晦捣敥㌷昶㌷㝦㜱㔱ㅢ㜹搴㘴ㄴ㝣㐹攷捥摥晣㐹攳收㡢㘷摤摦扤㘴㙤㌱㐱㘹敥㐵㜳㈳㥡㠱昴㔰㌶愴㑤㈶攳戳㤳晦戸㘵敢扥㤳晥扢て㕣扥晡㥤搲敥㕣㠲㉡㘱㠵戴㈱ㅢ搲㝡㤳搱㜲愴攱扤攱㈳㙥っ㍥戳敢捤扦㡤慤昹攲㌲㠲㝡㘵㠵㜴㝦㌶愴晢㑣㐶敤捣㕡晦戸㌱晢晤㙢昶㝣搰㤶㝥㕥晡㈷㐱攵戴㐲晡㘹㌶愴戵㈶㠳敥挹㝢敤㠵㈷摥慣摤昶改㉦㑦愵摢慦㤹㐹㔰挳慤㤰敥捡㠶㜴愷挹㤰ぢ摥㌸㤶晣摥挷捤敢扣昶㔷㥦扢戱㈴㑡搰㑣㔸㈱慤挹㠶㜴㥢挹㜸㝤挵㑢つ㡢㤲挷㝣㥢㍡㑥㉤戳㔷散㝣㤶愰慤戱㐲㕡㤵つ改㔶㤳昱㤷㌵㕤愵ㅢ㙥㥤摤㜰敦改扤摥搱㙦㜶㉣㈱㘸戰慣㤰㔶㘶㐳扡搹㘴㍣㜹摦㔳て搵晤散㐸昰挵〴昷攵戳㉦慤摡㑣搰敡㔹㈱摤㘴㜶㌸晥攸ㄵ㤳ㅦㅦ扡慥㝥攵攱㍦㙦挸摢㜱㙡ㄴ戹搱㘴搴㙦㕢㍣晥㥥慤㘳慡㔷ㅥ㜷晥戶戶敤㜸ㄷ㤹㤳〵㈹㥤つ愹摢㘴㤴晥挷ㅦㄴ挶慣慤摢扥㤵㑥摤㔸扣㜷㈱㐱晢㙢㌵愷㔴㌶㈴摤㘴㜴㑣㠸慤ㄸ㝦愰愸㘹㕤㜱搱扡㈳㙤敦㡣㈰㘸挴慤㤰慥换㠶搴㘹㌲摥㝤㝦攳捣㠳㤵ㅦ㔵㍦ㄸ㝦㍤㄰㥥ㅦㄹ㐷搰ㄳ㔸㈱挹搹㤰㈴㤳戱敢㠶搵摣敤ㅤつ㜳ㅦ昸ㅤ晦昹ㅤㅢ㥦㕡㐴搰㥤㔸㈱㠹搹㤰ㄲ㈶攳㔸㘵摤㡦㌶晣昷㜴攳晤㍢摡昶ㅤ㥤昰昲㈳〴㝤㤲ㄵㄲ捤㠶ㄴ㌷ㄹ㙢攵㤳㥦捣扣慡㙤捥㙦㔶慢㍦㔹扡㜷搷挷〴ㅤ㥢ㄵㄲ㥦つ㘹愹挹〸摤㜱㙢挷ㅢ敤㈳㠳㜷慤晥晤挱捦㡡攴〷〸㝡㐷㉢愴㙢戳㈱㉤㌱ㄹ㍦㙣㕥戵攸挳慦㡥戶慣㈹㜷㙥摡㑤㜷㙢〴㕤慣ㄵ搲㘲戳挳㠹㥤㈵敡愱昵㈷㠳㕢昶扦㍤愲㜸昳㡥㝢㐸㥢挹ㄸ㑦㠷㤵扥攵㥥摥昴戲㍥挹改摤户敢㜹㠲㝥摡ち㘹㐱㌶愴戰挹㐸㙤㝡敦扥㔳㠷㤶〶㙥摥昲㑣敢扡㉦户㍦㑢搰搹㕢㈱捤换㠶搴㙡㌲㜶㑣㜹晡慦㔵㘳ㅡ晣てㄷ㥤ㅥ戵昸攷慦㝤㐵㌰㘲戰㐲㙡捡㠶搴㘸㌲收㙤㙣㤹搱㌵扦愱改挵ㄹ捦ㅦ㈸昹挵摥㠳〴挳づ㉢愴晡㙣㐸㜵㈶㈳扡昶㠳㥢摥晦搵ㄶ摦晡つ挲㔷㝦㜸扦㌴㐴㌰㜶戱㐲慡挹㠶ㄴ㌰ㄹ㥢挳愷戶㕦昱㑡搸晦搲搰挹㉢㘲㜷㔵㍥㐱㌰〰戲㐲昲㘵㐳㥡㘳㌲敥㉤搹㍡敡昰ㅦㅦ㘸㜹㔸㌹㕡昴㠸㌰昷㔰㔱㑦攸攴挰㤰攱敡㡣㜸戶摦ㅢ㙥扦戸戰㍣昳愵扤〶㕥捥搳ㄸ㈸收挰㕢㤸㠳〵昳㜶㙥收昹㘱昵㍣㌸攳ㄵ捡㌱ㅢ㘶晤つ㜰〶㐶㔶㠸㠸搷㈷昷㙥㠴㐶㤲ㄹ戴㘱搴ㄷ挴㜵㘴㍣㍤收攵㘱㔴戶㜵昶愷㜳㝥㍣攷㜶㕦摥晦〰㠲㡥攲㉡</t>
  </si>
  <si>
    <t>㜸〱捤㔸㕤㙣ㅣ㔷ㄵ㥥㍢扢戳摥㔹慦㤳㈵㜵㥢㍡㜱搳㙤ㄵ㐸挱改搶㥢挴㑤㔲戰㤲晤昱捦㔲晦㈵扢㜱㔴㤰㔸捤敥摣昱㑥㍣㍦敥捣慣敤㑤㔱㕦㐰㍣㔴挰㙢㈵㠴㐴㡢㔰ぢ〵晡挲〳ㄲ㑦㔴〸㠴㄰昴㠵〷㠴挴ぢ㐵㐲㙡攱愱㐸挰㙢㌹摦㥤㕤㝢晦㥣㈶㙥㤰㌲昶㥥戹昷㥣㝢捦㍤昷摣昳㜷㐷㘲㤲㈴㝤㐴て摥㜸愲㘸㑣㤶㕢㝥挰敤㑣挱戵㉣㕥て㑣搷昱㌳㌹捦搳㕡㑢愶ㅦ㐴㘸㐰慣㙡ㄲ摤㔷慡扥㜹㥢挷慢摢摣昳㘹㤰㈲㐹昱戸㉡ㄳ扤昳㑢㜵ㅡ㉡㘶愹㔱〲㐹ㅡ㈵㔵ち昹搵摡㉤㘲㕤づ㕣㡦㥦㑤慦㠷っ㘶戳搹㑣㌶㌳㌳㝤昱㕣㘶晡㙣扡搰戴㠲愶挷㘷ㅤ摥っ㍣捤㍡㥢㕥㙢搶㉣戳晥㍣㙦㔵摣㑤敥捣昲摡昴昹㥡㜶攱㔲昶挲捣㡣㜱昹昲愵㘴㡣㌸慦ㄵ昲㡢摣摡㈲㝥昷㡢敢〸㜱㕤㈹攴搷㍣㙥摣㉦㥥ち戴㤱㉤昲扡〹戵㜱敥㤹捥㐶愶㤰愷晦㉥慤㔰敦㘲㘶戵㕣收㡥㙦〶收戶ㄹ戴愰㌹搵㕥慤搷搶㌵慢挹㘳戶㄰㈹㙥慦㙢摥㡡㘶昳㌱晢㠶捦慦㙢捥〶㐷㑦戱ㄷ㥡愶ㅥ愵攳㡣㝣㜶搸㐲㙤㈵㘵㔶ぢ昹㐲㐳昳㠲㤰㈵㉤昰捣戰搱㘲愵㑣㤷㈸㘲㡥挰㐲㍤㙣戴㙤㌰㔸㔳㐸ㄹ㠷愸㉡㠱㔸㠲挰挹〵敦㔷慦ㅢ㘶摤㑤敢㍣㉤戸搴㑣换搴㌵敡㥤㘳搱晦㤰昹㜵㌳ㄸ愵ㄹ㜲㔵㤳慢㌵戹㕡㤷慢扡㕣攵㜲搵㤰慢ㅢ㜲戵㈱㔷㑤戹㝡㑢慥㙥搲㤸捥ㄳㅦㄹ㤱摢捦攴户㉥扣㔷晡㑥㝡昱慤愵ㅦ㝣昱㝢扦㝤㘱㤲挱攲㠴改㈵愹愱㡥ㄱ㠸ㅤ㈱㜰〷㠱戲㡣晤㡢〴㠲㔰愵搵敡挴戳晦昸敦攲㜷扦昰㤷㥦㑢敦㝦攵㜷挹ㄴ㑤㕤㈱㡤㘵㔶㜸㜰㥦捣㑢㠱愶敥晥㠴戰つ挵づて戸挸晤扡㡡搳㉦㌹㍡摦㡤㔱㡢慣㈲㘹ㄷ㕣㈷攰扢㐱㔱ぢ戴ㄱ㝢㑤昳戸ㄳ愸㌴㘸㑡捣ち㕢㤸㌹㈶㜰㥤搹㠹㜶㡦㌸愴㐴戳㡢换愸㐰㠴㥣ㄸ㠵㠷㐸㌴㠴昱搸戰㌸戱愸昹㡤㐰慢㔹晣㜴㥦㈱㐱㙦㘴扢㌷〲搳昲㌳挴㜲挱㜳㥢㕢搰攸晤攲〳昷㔷㘱㙥戱㘳〴㐴㔴挳㥢ㄶ戸慡㍥㐴慦㠴㈰慡㈰搲攱㝥〴捡㍥㉤㜹㥣㍡搷摡㘶㕣昴戴ㅤ㜲挹晤㈳愶㜸㠴扦㡦㡦㐹ㄴ㤲㡣ㄹ攳愲㤱捤敡㌳搳摡㜹㑤㠱て摣慢㑢㡤搳㥣愴㝤搳㜴㜴㜷㐷昸搸㌱㥢㥣㐶戸㕣愵戵挵〵㉡㘹㔴㌴㙦㠳㤳摦㝡愵攲戸㔱㜰㍤㡦㕢㕡挰㜵㠱㐰㥣㍥摥㡢昴攷㍤搷〶㝥㌲慦昹㝣摦㝦愷㡣㜰愱扣摢㜴㜴晦攴㜰㘲㌹㈰搶㈷晡㘹晢㑣〶愶㤵㈹愶㜱㕦㐸㝡慡㝦㥡戰搳摣慥ㄹ㤲ㅦ敢㈳㔳㔴㜳㙢〷㔳攷㍤晥攲ㅥ㜵㐰愲ㅣ㈵慢㙤づ晡挰㉥㐳㔲㈸㔷扡搰㜰㝤敥〸昱愶散㌵戳扥挹扤㌲㐷慡攳扡搸敡挳㈰㜱㜲㥤㍡昷愷㔶愱㝡ち慢晡㤳摤㔸㘳㙥㌷攰攴㜸㍡挹㑢改㈶㘸㔵㘰昴㡦昴っ〹搷㈴挲㐴て㝡摥慤㌷㝤㌸㤸攷㕡扤㤴㥣扥慤搱㥡晡戲慢昳㘸㔴㡥㐸㔱㈹㡡㐷愲㌰ㅥ㈱慦㥢敥昳㈹㤱㌳挰摢敦づ捥㕤㤶㠳攸㝣晥慥㈶昵㥡ㄷ收つ昳敥扤㉡㠰㍤摡敢㉢㤹敢愴㍤搲㤲挵攱㐸㜲扦昳㜷〹扡㙦㌵㔸㘴㘸攸ぢ㜷搴愵㌳搸㉤㐶㍦㜵昰㔶〴摢㍤换昸晦づ㤶攵㠷摡扢㥦摢愶昰扡愸㌹扡挵扤㍢敢ぢㄲ愹㡦〲㑣㄰㐸㈴㈴攵敦ㄴ㠴づ搴㈲ㄲㄷ摢㘵㉤㘵挷搴㠳㐶慣挱捤㡤㐶㐰㌸慡戰攲㜱愸昸㙡晢昷㝤㉡戱扥㡡㌲㑢㍤〹㌰㐹㈰㐱摣㐵㤸㡢㈵搴㔳愲㉦㌱㈴づ㤱㤴㤱晥〶㘳攰ㄳㄸ愶摥㠱㤶晣㌴㡤愰㄰㕥㜴㙤捤㜴昶㈳攳㈷慡搸ㄸㄲ㌲㈲愴晡ㄹ㠰㌳〰㑦ㄱ㐸㐸散㑦愴ㅣ㈸攸㌵敡㡡㕦㝢㥢戲晡㌹挲愸㔳〴扡户昹㌴昵㘳ㄹ㠰昴〲愷㘲㌱㈱㐵ㄱ昲㠷ㅤ挹㕥㠲挲㠹㈴㤶㕣㑤㥦搷敡㔴㠶㡥戴㡢搰㜸挱戵户㈸㙤㝡㈹㡣㉣㤰㈷㤲㠷㙦㥢㍡昷攲㐰㤴愹攲㡤㔲つ敡挷㐴ㅣ昳㈹ㅦ㐶㈴㐵ㄹ㡤て㕢慢搴攱㜵扡㙤㉦摤ㄵ㜵㘹㠰晦㍦慦㕤扡㠲愳㑣㈴㐴捤昲っ㌵搵㘹〲ち散收㥥㝤晦㈸㑤㝡挴㉥㌷摣㥤㐵㌲ㅥ敥㠷㌵㥥㕦昰捣攰昸㈰㥡昲扢㘶㑦〸晣㠲挷㈹摣㝢ㄵ㡡㝡㘲㡦㤸㜱㘲㈸㐵㑣㍡㈱㕣慦㉢攸㑣ㄹ敢㈶摦㐱慡㝡㝣㤰㐴㐵㙡愱改〷慥㈸㐷㑥つ搲㡢敥㡡ㅢㄴ㑤㝦换搲㕡愷㠷㤰㐳捡捤〶㜷㈸㔲㝢ㄴ戰㍦㙥㤰扢戵挵昵㈱㌲㤶摤愶㔷攷愵攲㠳㄰敢改愴挲㠷㠹㌰捦攲㉣㈶㌳㝡づㄷ㘶ㄸ㈲㡣昴搲昸摢ぢ㝦扤晤昵㉢㈸㡢㔸㈲愱㘶改㡤戰〳攲㘱㔲〲晣㜴慣愷㄰㜹ㄸ㌷㡥㘵扡愵㤹㕢ㄶ捦㙢ㅥㄹ户敢昹慡摤㘹㠶挶搷㜵㙢〸㍤收㐱㔰㌸攵搵㌰愳㘶づ捥㈸㕤㠲ぢ㍢㠴㐱㈳㘶戰昱扥搴㈷昶㡤㤸㝣挸昳㔲摥愵㐰㜷㡦㠲攰㥡㍥戲㡤㡡扦㕡㤵攲㄰ぢて㔳晥㐰慣㠶捡㠷㠴ㄲ㜵㜰㌳ㄴ戳ㄲ㥢㡥扢攳〸挹ㄵㅦ搵ㅤㄸ慡㈳㈳搸〶㙡㘸昱捣㔰摤㐱愶〳慢㐱㜲戹慢愴㡥㡡晥愸戱攷攵ㄵ㌳戰昸愸ㄱ㉡㄰敤戸㐱㝥㑢〵㤷㍥㘲㔴ㅡㅥ攷挵㌱㘳挱㌳㜵换㜴㌸ㄴ㑣愵㉣慥愳㑢㝣㠳㡡慢㌵ㄷ㔷㕦搷ㄹ㌳㉡㥥收昸㠸捡㑥扤㜵慣愷㈷㙣㑡㌱昲愶攳搳㌲㈲戲愰㝤搴㐰攰愳晤㌵㙤㘷㐱摢昲ㅦ〴愳㈳㙤㜶㥥搰捤㘵㈶换㉣㉥挷て㘹㌷㔲散〲㤴㉤散戴㜳愱㝥㉥㑤搵㤷㉣㈲㠰㝣づ慢㠵挷㠷戲攰敥㑢㉤挸㤹ㄴ㥦ㄷ摡㌵㜰㘴㔸㜲摢慢〵㘱㝤敡っ〱㠶㙡㐳ㄸ搲戳敤〶㍡散〹〲挸挶㝤改敤㈲愱搴㑢ㄸ㠰散㡦ㄴ搷ㅦ戸㠴昵愹㤷㠹㐲㈶挸捥搰ㅢ挱㡢晤㠶㙣ㅣ㉥㐳㙤㠹戱㕦㔳ぢ㔶㍦捣㙡㔱㑣㑣つ昳昰戰㡣搹晢攰㔲搲愹㡣㙢㝦㘱㐹攲ぢ㑢㠵㉣ㄳ户散戸攸㤰㕤㡥搹㌷㕤㙦戳收扡㥢㐰ㅦㄱ㍤扦挱㜹㠰㑦ㅥ愳㜶昸摤〶㙤㡡摡㤱㐸捦攷㡣㜶戴〰ㄱ㐵㔴㔸㤹捤㔲㉢㌲敦搵㐵㡦扤㐳昲攳㡢挳㤳ぢ摦㝥㔳晢㠵㕢㝡攵㠳㤷㝦㝣昲慤搹昷搸㉦摢㠴攷攷㕦㝢㘷敤挳㌳㡢㙦扣扥晣挱摦晥昸攷㌹㠶㉡〸㍥㈹挵㜲〴㈶晡㙣㘰㍤户戴㝡扤㥡㉢攴㔶㠷㔹〳㐳昵〴㡢㔰昳〴ㄸ㙡㈷㜱㘸㠵㜶〳㥤ㄴ㡡て搴㈲戱㈲㠱㑦ㄵ昲搵㜰㡢ㅤ㑤挵收〸㝤㠴搰㕤㔵㝡ち戵ち收愸昳〰㐸ㄸっ㔹㐷㌰㕦愴㐶攷㘱挲㔸愸愷㜶㘳㔳㌰ㅡ㠴㈹戵㐴㘰㉣㤲㠲㠱〸㜶㄰㐱挵㠲㈹㤸㡢㐰㉤〱㠵昲㤱挱㍣〶㔷挸て挳愶戰㐳戱〲改㠵㔶㘰㤰ㄳ㌶ㄲ㕢㈳昰㔸挵搵㕤㍦㑤晦㌹敦挵愶戹㑤つ晡㐰㐵㤱愷愶㔹つ㔷挵㤰搸㌵〲攷ち㜳戹晣㜹挴ㅤつ挱〹㜷㌵换㕤晦㔲敥改㘵㉤昰捣摢㍡敦㌹㡣捣慥攵敦戲户摢攷愸㝥敤搶㠷扦晦昷捦㤶㕦㤵㕥㝡㘱晣㥢摦㜸㤷晤戴㑤攸晦㜲㤵敡㘸㐶㠱㌲㍥㍦捣㠶〷㙥㐹㔳晤㔷搲㌹扡㘲戶愰慥〸ㄵ慣㡡㠸㤴㔱昹戹挳昱敡㘴㍦㌸扢昲ㄳ㤲晡ㄳ昰挱㜱昵㈶慦挷〹愳摥㈰挰㜰戰㌸ㄲ愱敦㔰改㌷愹㝢ㄸ愵晦昰㈰愵扦搹㈶昴㝦攰㘳㌰ぢ攸㥢扤㐱㈳戰㐹㈱搷㤷〹愳㐰戸晥挴㡡扢挰㍣昴摢㜷㑢ㅢㅤ㐵ㅡ晤搱㤵昷慦扥㝣昵㤵ㅣ挳㝣㑣敦㈰㐶晦〷挱㉦ㅥ㈳</t>
  </si>
  <si>
    <t>㜸〱捤㕣ぢ㤸ㅣ㔵㤵敥摢㌳摤搳户㘷㈶㘹㥥〲㈱搰〴挲㉢挹㌰㤳㤹挹㐳〸㘱ㅥ㜹㐱㈶〹㤹㐹〰ㄵ挷㥡改敡㑣㈷摤㕤㐳㔷捦㈴㠳ち〸〴挴㈷㙦挱㈰戰㈲㈸㠲㈰㉦〵㐱攴ㄱ㜴㔷㔹㔶晤挰㘷ㄴ㜵摤晤扥㔵㘴ㄱ搷㜵摤㙦㤱晤晦㔳㔵改敡敥敡㤹㑣挰敦愳㤸㥣㌹昷摣㜳捦戹攷扦户㙥㥤㝢慢㠶㤰ち㠵㐲㙦攲攲㙦㕥昵㘴㡥散㥦戰㡢㘶慥愵挷捡㘶捤攱㘲挶捡摢㉤㕤㠵㠲㌱戱㌶㘳ㄷ敢愰㄰ㅤ捣愰摥㡥っ摡㤹ぢ捤搸攰戸㔹戰愱ㄴ〹㠵㘲㌱ㅤ㐶扤㜶晦㈵昶ㄶ搸㑡搷㤳㐰㉢愴愳㈴つ㈴㌱ㄲ搱㡦㤳㙢〴㘹㙡〲ㄹ攸改㕥㍦戴ㄵ摥晢㡢㔶挱㥣㥦摣散昸㔸搶搶搶搲搶搲搹扡㜸㘱㑢敢晣㘴捦㔸戶㌸㔶㌰㤷攵捤戱㘲挱挸捥㑦㙥ㄸㅢ捡㘶㠶捦㌲㈷〶慣㙤㘶㝥㤹㌹搴摡㍥㘴㜴㉣㘹敢攸散㑣㉦㕤扡愴愹ㄹ㤶搷昵㜴㙦㈸㤸㘹晢敤戲㌹㠳㌶搷昷㜴户慣㌳㡢㙦㤷捤㤹戰〹㤳扤㔶捥挸攴摦㈶愳ㄱ㡥㐱㘷慦㌹㥣攱㘰㤹㘶㈱㤳摦搲㠲㙥㤷〱㡤搲攲㤶㉥摢ㅥ换㡤㜲摣㝢捣㙣㜶愳㤹㤶㐱捡昵摡挵つ㐶㈱㘷㌷攵㠸㥦㔹㌰昳挳愶㍤㈳户㘲挷戰㤹㜵ㄵ敤㔸㙥戳㔱㔸㘷攴捣㝡㌲㌳㜳捥ㄸ慥㐹㤹昹㘲愶㌸搱㥣摢㘴㥢ㅢ㡤晣ㄶ㤳㉡㤱摣慡戱㑣㑡搵搷攳㈷㔴㜷㐲㔰捦㘴愰搰㥦㕣捦㠸㔱㈸㑡㠹㐳搸ㄶ愴敢㥢㉥ㄲ㐵㔹扦㌸愵㤲ㄵ慤㌸㘶晤㤹摣㔹㘶㈱㙦㘶改㠴㈳㌹慦㐲㐹〰㜲挶㘱㉦㔲㕥㌸ㅣ㈵搵攸摥㉣㡣㠵㕥愲〹㤰㠵敢慣㐲づㄳ㜲慤搵㌳㔶㕣搶㍡扦捦㌴昲换㕡㕢㍡摢摡摢ㄷ㉤改㔸扣戰戳㘳挹㤲搶昶昹晤挵㔴慦㌹㡥㡡搶戶㑥㝤〰摡改〳㘹攱㈰㤰愶扥敥挱㜱愳㘰㙥戵〶ㄷ㜶敡㠳㔹㜷〸㠸慡晦ㅤ敥㔶扦㑦摥㌱攱㐱㈳㍣㌸ㄴㅥㅣづて愶挲㠳㘶㜸㌰ㅤㅥ摣ㄲㅥㅣ〹て㘶挲㠳㕢挳㠳摢愰攳㕤戱㠶㠶戰㝢敤晥㡢扥昵慡㔷㘷昶摤昳挳㠵扢扥扦戳昰つ挵ㅢ㔴敥敦㜷㠱㌹搱㡤㘱㜵挶ㄷ挳㠲搶㤶昶昶㠵晥㡥㉦敥搰㠷㐱㕢ㅦづㄲ㍤〲愴戹搷戴㐷戱㈶攴㔳〶扢㍥㡢㤵㐷㠲㈸昵慦攸㍡扢㍦㜴昵慦㍥晣昲搷敥敡扡改收昴ㅢ晦昲昲散㝥挵㌵㐱晣ㅥ〵㘶摦晤ㅥ㑤搳㐹㤰攸㌱㈰㘵㝥㍢昴ㅣ㔶ㅥぢ愲搴ㅥ搷敦ㅤ〳㝦㝤攸攴愷〶㝡ㅥ㍢昰㤴㡢㠷㍦搹㝥愷攲㌲㈴㝥攷㠲搹㥦㌱㍢㥥㑥㑥〰㠹㥥〸攲ㅦ戳づ㝤ㄲ敢㑥〶㔱敡㈵户〳㍦敦㍥晦昴㥦㌶慤散扤㜴搷ㅣ扢晦搵晦㝤㔹㜱〹㤴づ捣〷戳敦㠱㉦愰改ㄶ㤰攸㈹㈰㘵㠱㉦搲慤慣㙣〳㔱敡〵搷敦搹扢搶㉦ㅤ摦㜸㔶摦搷㤷摥晦攳㔹て㝥昷愷㡡㌷戴昸㙤〷㜳㔲㡤㠱㙥㙢㙤㕦攲ㅦ改搶愵扡㠳戶㍢㐱愲㡢㐰攲㌲搲慢扡〶ㄷ㜶攸挵慣㔹〲愲搴㜷㕣慦㡦户摥昳换捥愳捦敡戹㌵昱收ㄱ攷㍤昰摣ㅢ㡡换扣㜸㝤㌷㤸晤㠱晢㔴㍡㌹つ㈴扡っ挴て昷㈲㝤㍡敢㤶㠳㈸昵㤴摢㠱敢㘶摤㝤挴㉦㝥㜰攳晡㕢慤㝦㑦摣㤶㍥㜳㡦攲㈳㐶㍡搰〵㘶ㅡ㘱㜷搳㜶て㐸戴ㄷ愴ㄴ㜶愷㕥挱㥡㤵㈰㑡㍤收㝡ㅤ扢攵㈷搷晦㜵捦〷㝡㉦戹敢摥つ搷晥捦㐳㕦㔱扣㐳挵敢㙡㌰搳昰扡㠶戶捦〴㠹㥥〵㔲昲扡㐸慦㘵㑤ㅦ㠸㔲て扡㕥攷㥡〷捤㝥㕥㉦改㝢戲戸㈰摡昲挲搳昷㌷慤㐷昵搹敥摡搴㕢㌰戶㘳戵㉦㍤㐸昰昴攴㝦㔳㍦㐱昱〰㑤㜷愶ㄷ愷摢摡㔲㥤慤㐶扢ㄱ攱㉡戵慦㑢㌵㔷挲愶昴㌹㤹㝣捡摡㉥㙢昷㤱摤㠶㙤㤶㤶昲㜹㙥㕤户㌵㤶㑦搹戳㠲㉢晢㡢㐶搱㍣愲戲慥㘴愴慡㔹㍦㥥㙣愶㉤晥㡥慡㙣戶搹挸㡥㤹㕤㍢㌲㑥昵散㡡㙡㍣搷慣愱摡戵㉢ぢ收〵㝢㙢慢㝡搴㠵㐴㘹㕣㙣㔷㐵改㔴㌹晤㑡昶㡣㔸戶㤹㤷敥捤换㙤挸っ㙦㌳ぢ晤㈶搳㉣㌳㈵愱ㅥ挲㉡昷攱㍡㙦㝤ㅥ㠱攲㜱㤹㥡攳㤷愶㔷散㈸㘲㜹㌵㔳攸敦愸㔹㈸㑥っㄸ㐳㔹昳搰㌲ㄵ挷㈷㉡づ㉦ㄳ慦戴㠶挷散ㅥ㉢㕦㉣㔸搹昲㥡慥搴戸㠱〷㝡慡捦㑡㤹㜸ㅥ搷昳ち愹㔰㕤㥤㔲愱㤳㠳ㅥ㡡戴㙢户挸㐰昸㠶㤸㡦攷挳捡愷㕤换㐶㐴㠷㈸戲㈶攷㘴昸戸㈹㡣㠹㕤㥡㌹愹戶愲㉦㈶收愴搴㍥戱戶戶昴㜱敦挸晤㝤㤵挳攱㠳摣攸㔷攰ㄱ㔸㕣㙤攴㔳㔹戳㌰㘹㐶慤搸㈳扤〱㈴㜲㍦敥收㥡攸昱改慣㜶愸㠹挸昶㑣慡㌸ㄲㅤ㌱㌳㕢㐶㡡㤰㈱敢㡥挵〸㙤搵愵㌷㐲愴晢㐹〶㐰攲昱㔰㜴ㄳ㤵愲㜱扤搹㈹㐷㤸㜰㑣㍦㥤㤲扣㕥搲㌷攴摡㜶㈴户搲㉡搸㜵㜵㐱㔱慥㌶散㤱㈲愷攷愴㤵㑣㥣昴㌹㈴攷㠲㐴㤸敥㑣㤹慤捤㠴㔲㍤㤳搲收㕣慦㤹㌶戰ㄵ㤰扢㕢ㄹ㤱㥣㤳㕤攲改㌴慣㤹㠶慥挱扤戲㈳ちづ㌷㝦㔳㡥戳摦摣㔱散㌵㡡㐶㐳づ〹㉤㐶㐹㐳㘹㥥戴㜲㌸戶㙣ㄶ㤹搷㍡敥㤶㘰㈱㈱慣捦㑡愳〸ㅣ㑢戸㜱㜰扦㠴敡㕣㍡㜹㄰攸㍢㔳捥㘸攵㐴㉦㑦㑣㤱㉦愷㔶㤹昹㠱㠹㔱㘴摢㔰㡦㐵㈷㠵戲昲昶愲戱昵挳㐳㥢㡡㤹慣摤㠲㥥慥㉡㔸㘳愳㙦愷ㅤ摡搲攷㠱㜸㔷攴㉥捣攲㝤㡦㠹㍢捥㠶㜱㡥捤攰㘰㈸㐶㙢㤴㘸㈶挱㥡戳ㄵ挶摥挴㉦戹昴昹昸ㄵ㥦慣㉥挲㉣㜹㍡㐹㍣㜳捦愶ㅣ㄰ㅡ㈸㤸戲㉤㠹㐹〱㘸㌷攷捥戱ち摢㠶㉣㙢ㅢ攷搳っ㈹搹㈳愶㔹㘴慡摦攸㙥㙤㘴ぢ愳㔴㕤㕤㔹㑥敥摢ㄳ㜰㥡㐶つ㤰搹〳㔶捡戲㤳昸改㉡㕣㌰㤶ㄹ〷㤳㌲㤳〳〵㘳挸挸㡥㔸搱㈱愸搴㘱ㄳㄲㅤ〶戳戰㘷㐵㔷㜷㍢㈷慣挱㙤ㄸ搷攴慣戵昹㍤㕤ぢ晡㡣㘲㈱㜳㘱捡散㌷昳㜶㘶㈸㤳捤愴㡣㤴搹戲㈳㙢敦㔰户〰㈷㘶搷慦㝤㜳㔶㘱捦㑤慦慦扣敢愵敦ㅦ㝡昰ㅤ㡦㝦㕡敤㜲㉢慡搲㝤收敤戲敢㐸㠳㔱㌷㐳㡤敢て昸昲㑢㡦愰慣㌳㈴㕢㐱戰㡡挸戸㘰ㄱ挹㍡㐵挵摣㥦ぢ㠹捥㤱攴㐱ㄴ搳㝥摥挶摡〲昱㉥㜵㌵散㜳㜶挸〸㜳戳㔰㍤挲㌶愴㜱㍤㐹㥤攲㘶㠲愳慣㠹慡㈶㙥㥡㤸愹㉢㘰㌸㄰㠰㥤㙥㐵搵扥㠳ㅢ〸〱攰㐳㙣㝦ㄹ搴㠲〱戸㠸㍥㉥㈶戹〴挴〷挰愵㑥㔱㈵昱㕢〰戸っ㡣扥ㅣ㐴捤〱ㄱ〰㜶㠲昱㉥㜵㈱㝣散〵攰ㄸ㠸慢〱戸ち搲戸㥥愴㑥ㅤぢ㡤㈰〰㐶㙢〱㘰戹ㄵ㔵ㅢ㈰敥㕦〴㠰㙢挱愸㕣㑤〰慥㐷戵扥㠱攴㐶㄰ㅦ〰㌷㌹㐵挵㍤㤰〰㜰㌳㤵㍥ぢ愲㑥〲ㄱ〰㜶㠱昱㉥㤵昲〳挰㑤㔳㌵〰户㐱ㅡ搷㤳搴㈹敥慡㠲〰㜸㑦㉤〰捥㜳㉢慡㌶㘰ぢ㘰㐹〰昸ㄲㄸ㜵㑥㑤〰扥㡣㙡㝤て挹扤㈰㍥〰敥㜳㡡慡〵扦〵㠰晢愹昴㔵㄰挵㡤㤸〰昰〰ㄸ敦㔲敢晣〰㥣〲㜱㌵〰㡦㐰ㅡ搷㤳搴愹㌶㘸〴〱搰㕢ぢ㠰ㅥ户愲㙡㈷搸〱㑢〲挰㤳㘰㔴㔷㑤〰㥥㐲戵㝥㥡攴ㄹ㄰ㅦ〰扢㥤愲敡挴㙦〱攰㌹㉡㝤ㅢ㐴㜱㑦㈸〰㝣〷㡣㜷愹㈵㝥〰戸㡤慣〶攰㝢㤰挶昵㈴㜵㡡㍢捤㈰〰㕡㙡〱戰挰慤愸摡㤴㜲㑦㈹〰扣〸㐶捤㜳〱戸ㅤ〵晥㍢㄰㐹搷㔸ㄸ㡣晥ㄱ挹㡦㐹㝥〲攲〳攰㘷㑥㔱㜱㕦㉡〰晣㥣㑡㝢㐰ㄴ昷愴〲挰㉦挰㜸㤷㥡攳〷㠰ㅢ搹㙡〰㝥つ㘹㕣㑦㔲愷㤶㐳㈳〸㠰挳㙡〱昰㉥户愲㙡㔳摣つ㑢〲挰敦挰愸㐳㕣〰挰㤷㕦晡ㄵ㤴昵ㅦ㐸㕥〵昱〱昰㥡㔳㔴㍤昸㉤〰晣㤱㑡慦㠳愸ㄵ㈰〲挰㥦挰㜸㤷㙡昲〳搰ぢ㜱㌵〰㝦㠱㌴慥㈷愹㔳摣㜴〷〱㄰慥〵㠰㜲㉢慡昶攷摣㘷ぢ〰㑣㍣搴㥢㝦慢昵ㄴ〸愳㕡搷㤱昰㤴摣〷㐰搴㈹慡㌳㘱㐸〰㘸愰㔲っ㐴慤㠵㐸〰搰㈸㜹㤷晡㙦昸搸晢ㄴ攰收扥ㅡ㠰㘶摡搴㤳搴愹㍥戴ぢ〲攰ㄵㄸて㝣っ晥摥慤愸㍣㉡㠸㜰敢㌱㡤㉤㕥㈳㍢㥣摥㥣㌱户㌳㈷㥤㤱挶㤹㙥捦㤸㕤戴㈴㠱㙥㑥昷㕡敢慣㘲㙦挶ㅥ捤ㅡㄳ〷愵㕤收㥣ㄱ㌳㡦敤㙤〱扢摣ち㤹㌵㍡㙡愶㜴扡摦ㅡ㉢っ㥢㙢㝡摦〹摢㕦挴㠷愱㤳㥤㙦㔸攱摡扦ㅤㅤづ㘷㔴㈸㝡㈸挶戱㜱㘰㉣㘵戵㌸愷㙣㜱㕣愱挸㐶㌸愸㑣搴攵愴搹户愹ㄶ㌶〱挵㤹㈵㠴〷㌲挵慣搹㤸㤶つ慤昰戱㌴㔰挵ㄹ㐲慡㈱㍤㌰㠲〴戶户㌹扤慡㤰㐹㘵㌳㜹㤳㠳㜳戰愳扡搶摣㠲昳㠲つ㤶㥤㘱㌶搹㥣㐶搲㤹户㐷戹昵ㄹ㥥㌸戰慣㈴㝢愴㐸扡㍢㤳户攱㐶㐶㤵晣捣㜴晦㠸戵ㅤ敦㠳挶㜲昹㔵挶愸晤㡥ㄸ愵搲ㅤ㈵㐳愵挲㉡ㅣ㔶戱㜰㙣㝦挷㉢晡㉥㔸㍣〴ㄳㄶ㈹昶搰㔸收搹㉦㍥㝢㠷㤵㜴㐶㡤ㄳ㈲戴㄰晦敡㐹㜰敦㜳㄰戹慦慥摣收昸〶戱攲㡣㠲扤㉤㝢㜳ㄲ戸㕤摥晢㥡慤ㄹ敡晡㌰㌴㙡㍡ㅣ攴捣㔵㥢搶㤴㑥敦摥搲㍢戰挸〰㉣敦昳㘱〹ㄷ㤸ㄹ捥㈴攲〱ち攷ㄴ敥㔵捣〵㤶㉡㈷㘶㍣㉤㍡㥣愳㌳㑡散㑡散户㥢搲㙢㡤㈱㌳㡢㘳㠲㥣㔱㥣攱ㄴ㜸㕥㠳㜷㈴戶㕢搷㘳攵㜲〶㈷ㅤ摦昴昴てㅢ㔹㌳㤶敥ㅡ㉢㕡㝤㤹扣㑥㠳挸捣㜴㐵挶づ㠸㡣ㅤ㈲㙡㑡㙦攴昱愱昰戴㘵㙤㌱ち㤹攲㐸㉥㌳ㅣ㘳㠱㐷㝣敦㠸搹㡡ㄵ〵戹挴摥换㕢㕤㉡㑦〸㥣㝤㍡㠶扢〵㠷㙡㠴㡥挳㡦㌹ㅤ㔶㔱晣愷昶昳㜴〹㙢㤱㍣㘲昴㉣㔸㡢㌰㥦攱攲㈴搷㙢摥扢摦搷㉥㠶㐴㘶戶摡㑣〵晣搳㐷㠲㤲攱扦㝡㥥捦㑣㝡昴挰户ㄹ昱戵㤶㤱㕡㘹っ攳慤㙤㠳晢捥㌶㠶愱攵㘲㔳㐸昰㌰愸〷㝢㔹㥣㕢㡥㘷㔲㘶㈱㐶㐱㍦摥㈱搷昳ㄸ㈹敡㡣㈱戶挱㜵愱㐸愴㌱ㄶ攴㙢㡤㘷敢㌸㜷㡢敤㝦㐷扤愶捡晥㉢㘷㉦㘱愲㠴戰敡㐰昵㙣挴愱㡦㘲㑣攷愲挸㜸㉡ㄴ㡥愶㐲ㄲ㈴挲〳㡤捡戱㈹㍦㤷挱改㡤㠶㔲扤扣敤攴㠹㔱っ愷㉢㜲搴ㄴ㤱㐰ㅡ㝤㐷㐴㔱攷㜴㈸收扤㐲㡤昶㘳㤶㥢愹戸戳挲昲㈸㡡挳ㄱづ搷㘳愸愳㤵挷敢㔵㙥㘱㉣搷㙦捡搹㤱㥡㠱㉥㐴㡦㐱攳㘳㜹戳挰晥㘰㥦㔱搸㘲收㤲摤㠵戱愲㤱㕣㤰㐴愷昰ㄲ㌱昹捣搷㤳挹〵㔵㘹㐶㍣慥㡦㐵摢㔰㕣昱㘰挵〳㈴㑡㐹㥣愳愹㡦㐳慤㥥ぢ愲搲㈸㌲㔱㜰ㅥ㙢挷㐳㔴昵㔸㔳㍣㈸攰愳㉤ㄴ㍤〱昵晢扥㤴慡っ摡㜰㌹搵㈷搲搵㔶㜰㕣愵昶捥摡㤳㈱㥤㝡搶昲㌴〲㡡㈱㍤㡦㐶摣㠲捡㠱昱〲〳敢㑤㠵昹㔰搰ぢ愸㤸て㔶㘸愱挲㈹㔴攰〹〶愷㐳戴ㄵ愵づて㘶扥晢㌲㙤挳㑥づ㕢㌹㝣㥤㠰户㥤㜶昲㤴㈴㡥扡捤っ㜰㕦晢散㔷㜰挶㤳㌲㠸㝢㕢㙢㄰敥ぢ㘱っ戸昳戸挳敢㥥て昷㜶㝡敦愰㜷ㅥ㑤㤴㜰敦㠴愸ㅡ㜷㥥㑦㌸戸㉦㐲晤㌴㜰攷㤹㠶攰扥㤸慥㉥㐱愹っ昷愵㤰㑥㡤晢愵㘸〶挵㤰㝥㌷㡤戸〵挵㤳㄰㉦㌰戰ㅥ敥愷㐲㐱㥦㐶挵换㠳ㄵ㤶㔱攱㜴㉡散㠴㠲攰扥ㅣ愵昶改攳扥㌴〸昶㉥搸〲散㔷昹㥣晢㘰敦愶昳ㅥ㍡扦ㄶち㈵搸㝢㈱慡㠶晤㝡攸㌸戰慦㐰晤㌴㘰扦〱つ〵昶㤵㜴㜵㈳㑡㘵戰慦㠶㜴㙡搸㜹昴〲挵㤰㕥㐳㈳㙥㐱昱晣㈵〰昶㌳愱愰捦愲㈲捦㘶〲ㄴ搶㔲愱㡦ち㍣慥ㄱ搸搷愱戴扦慢捡〶戴〵捣㍣捡昱㥣昹㘰㍥㥢捥㌶搲ㄹ㡦㕤㑡㌰昷㐳㔴つ㌳捦㕥ㅣ㤸〷㔰㍦つ㤸敦㐱㐳㠱㜹ㄳ㕤昱攰愶っ收㜳㈰㥤ㅡ收晢搰っ㡡㜸㌳㐱㈳㙥㐱昱㤴挷ぢっ慣㌷扢捦㠳㠲㝥てㄵ扦ㅡ慣昰㕥㉡扣㡦ちて㐰㐱㘰㍥ㅦ愵晤㔹㔵摡㠲愶昷㈰㡣〱昷㐷㝣摥㝤戸㝦㠰摥つ㝡攷㘹㑦〹昷㈱㠸慡㜱㝦ち㍡づ敥挳愸㥦〶敥㑦愳愱攰㥥愲慢㘷㔰㉡挳㍤つ改搴戸敦㐶㌳㈸㠶昴ㄶㅡ㜱ぢ敡㌹㌰〱戸㡦㐰㐱㘷愸昸敤㘰㠵慤㔴搸㐶〵㥥㐵〹敥㔹㤴扡慡㔶㤵㔵㘶挱挸搸㐹㌳搹㤵捡㘵昲摣ぢ攰〴㝥摣愸戵戶〷慥㌱㜹㔸挶㈰㝣捦搷ㄵ摦㈰㔸散捡㈸扢昲㈲ㄴ㑡㠳㜰〱㐴搵㠳挰㘳㈷ㄹ〴㌹つ㐲愱㙡ㅦ愲㝥っ㤹挰㙤搳㈸㑦愷捡攰ㅥ㠳㜴㙡戸㜹㡡〵挵㤰ㅥ愷ㄱ户愰㜸㤴ㄵ〰昷㜶㈸攸ㅤ㔴攴㌱㔷㠰挲〴ㄵ㉥愴〲㑦扥〴敥て愲戴扦慢挹㠷搱ㄶ㠰晥摡攷捣〷攸㐵愸搵㑣㕥ㄵ㑦戰㑡㠰㕥〲㔱㌵愰㍣挶㜲㘶昵㐷㔰㍦㡤㔹捤愳㉦㠱昹㔲扡攲ㄹ㔸ㄹ捣㤷㐳㍡㌵捣慦愱ㄹㄴ㐳㝡㈷㡤戸〵挵〳戳〰ㄴ慦㠰㠲扥㤲㡡慦〷㉢㝣㤴ち㔷㔱攱㑦㔰㄰㤸㍦㠶㔲昷㕢㥤搵挱ㄹ换㈷㘰ㅡ愳昰ㄷ㕦㕦㝣愳昰㐹昶攵㔳散ぢ攳㉡㡤挲愷㔱慡ㅥ〵㥥愵㌹愳㜰㌵戸㘹㡣〲捦摦㘴ㄴ慥〱愳敡㐱捡㐶攱㍡〸愶ㅥ㠵㈸摢㈲っ㝤扤换戰愰㜸㙡ㄷ㌰ち㌷㐰慣㙦愴㘲㉣㔸攱㌳㔴戸㠹ち㍣攴㤳㔱戸ㄹ捣㕢ㅦ㠵挰ㄵ㝥ㄷ㑣㘳ㄴ㜸㍥攸㜵搶㌷ち户㐰慣㍦〷愲㜸㜶㠰㥦㤰扥搵㘵戸〳㡡捣㐲愱㜲㕢㔳戵攵攴㍥㌵㥥收收戳扦㌸㤱挵㠶㥦㉣户㌹づ挷つ㥢㔳㡤捤㤷㔵挰ㄸ搴㔷㝥戳戰户敤㝡㤸㙡㍣戸攲㝢㄰㘹挶㥡挳搱㥢㠸㠱㘳挹㥡敤ㄹ㐱改攵㌰摢昰㡡摥づ昹挱㝤㤹攱㠲㘵㕢改㘲戲ㅦ挷㔹㐹㝥㕦㤳づ㠵㕡扢㈲㠳戰ㄸ攸㤳㠱搵攷昹改改㌸摦㌷挷户攵慤敤㜹改㑤挴收㘷㐶昴愶ㅢㅡ攸㈶㡥㝦㜲ㅤぢㄴㄳ摣〷戳戱晥㍣㤸收扡挴㙣㙡攲㑡㜰㌳㈹っ㜷㡥挲㈴㕤㈶挲㡤搵扥㙥攵㘸㕢つ愹㘱㤵㔲㘶㝤㐳㠳㥡㕢昱㌱㑢搵ㄶ㜰敦搷〰搱㈸㜷㠰㤱昳ㄱ昲扥㌵㘲昷㑡㠸戲戱㙣㡤扦〰戹扥ㄳ㈴㥥㌸づ㤴ㅤ㡡摥〵收挰㥥敥㐱扣㤵昶扦〹㡦㝥ㄱ昲㈶挸㘵㥢㡢捦㠳敤攸㤷㈰㌹〰㤲昲捦㝤愳㜷㐳㍣〳㘲摦㔱㔸㘲㉥㘴〲攵㌰㕣挸昷慥晡㕥㠸攴昳㔷㜵㈲㌸晣㠴昴㝤㉥挳扥㈹㙥晦㌸㜱搵搹㠸㤲搳〵挲㤰收ㅣ攰㜰慢昵㤰㜰挸换㠷㡣㥢㐰昱昳㈰ㄸっ搹㝣㔱挷㤰㜱搳挷㉢搱攲㌱摣攵昱㔲摣㤳㜱搸㔴ㅦ捣ㄱ㔲㠱收㘱㐸昴㈳㈰昱〴户㘵㘲㤴搰㘸攲愰ㄹ扡㘶愰〹㙥搷㑡㤱ㅤづ㠳晡〹㔶ㅥ㐶搳戲挱愲攸㐹㠸昰㈳愸慢愵攰㈴戲㉥㌸慢㡥㙣㌹愴搵㤱㜱㥢㈵㝥㥥〱㠳挸㑥愵㌹㕣㠹搳㍣㘶㤹挷㥣敥㌲㡡摢ㅥ㠹㙣㤹㍦戲摤㤰敡攷㐰攲㠹㙥搰㥡㤱昵㜸㤵㌲㘶㐹昸搲捦戳改搱攰搴㑡㜰昸〹改ㄷ㕣㐶挶㙣㌵ちㄲ㔹㕢㘰㘴愷〴㐶戶〶㡤愴ㄳ㍦〴㠳挸戸㙢攱㤵攰捥㐵㤸戵ㅥ挳慤ち㉦挵㥤㠶㐴戶挰ㅦ搹㡢㤰敡㤷㐰攲〹㙥㌶㙡㐶挶㑤㠸㔴㑡㘴㈷挰愰摥挳愶挷搳昴㈶㜰昸〹改㕦扡㡣㐴挶㙤㠳㐴㜶㑣㘰㘴㐷〷㐶挶捤㠳昸昹つㄸ㐴㜶ㅥ㝥昱㑡㜰戳㈰捣㝢㍤收㝤㉥愳㤸换㑢㘴戳晤㤱晤ㄶ㔲晤㙦㈰昱挴〷㐰㙢㐶挶㌴扦ㄴ㔹ぢ㝣攸㔷搸㜴〱㌸㉣㌳㙥㘴慦扡㡣㐴㤶㐶㐱㈲㍢㈰㌰戲㤹㠱㤱㙤㐱㈳昱昳㍡ㄸ㐴㌶㠲㕦扣ㄲㄹ㡦㘱敥㉤ㄲ收摦扣㔴ㅥ㡣㐴搶散㡦散扦㈰搵㝦〶㠹㈷㤸㈳搷㡣㡣戹㜳㈹戲㑥ㄸ搴晦挷愶ㅤ㌴㉤㌹㌰㐵㝦㠳㠸〷㥤㝣㌸慡㌱ㄴ㈴㌲ㄵㄸ搹㥢㙦〴摤㘷捣㠴挵㑦ㄸ㜶㄰ㄹ戳㕥㕥〹㘶扥挲㑣㜸っ㔳㕤㕥㡡㤹慡㐴昶〶㑣敥㕤㐱敡㘱㐰㌳㉤㠹㈷㉥㠲㐲捤挸㤸挴㤶㈲攳ぢ㘵摤挴愶㝣㐷慤㉥㐵㈵㝥㐲㝡〶㐴㘴㘴捣㉥〷㈷㤱晤ㄱづ慢㔷㤰晦っ㡣㙣㈷ㅡ㠹㥦〳㘱ち㤱㕤㐱㜳戸ㄲ㔷㝡捣㐷㍤收㉡㤷㔱㥦〰㈳㤱晤挱ㅦ搹挱散摥㈱㈰昱〴ㄳ挰㥡㤱㝤捡慢㤴晢慣〷扥昴㤱㙣摡つ㑥㐹㉡㐷搱㔱㄰搱㥦㐴挶㔴㑥㈲晢㜵㘰㘴㉦〷㐶㜶扤攷㘷づ㑣㈱戲ㅢ㘸づ㔷㠲〹㥣㌰捣搶㠴㘱挶挶㑢敤〲㈳㤱晤挲ㅦ搹㜱散摥㕣㤰㜸攲ㄶ㈸搴㡣㡣挹㔶㘹捣捥㠴㐱㍤㥦㑤昹㔶㌹㜱慢㔷搹㈲摤㠹㝣ㅥ攵㔳㉢㥥敤挱慦㡣收㔵㝥攳扢〲摦散㑥挰㑡愸づ㘷攵捥〹㜳㝤昸摤晢㘷㡢搹〳㕦㌰昱㕦攴〷㠸晡㉤搸㐱㐴扥㝣㠲ㄶ昹㔴搰慤攸敡捣㉦愰㌲㠲ㄲ敦㐱摦昵摡㜲户㜰㠶昳㍢收晥㑥㥣㌱昳㑥慦挵昹敡㤸㙢扢㈲扦扡搸搵っ摤昶挷㉦㥦㍡昷㜳昷㕦㥣扤扤改搱换㜲扦㕡晥攸㔱㍢㝦㝦昶愳㥦㕡慥敥㐵ぢ扥愵搲〶挹㄰〹攷㤸㝡ㅥ㘱〵扥〶晦㥥㕢㔱昹㌹㕣攲㍥㔸㤲㤱㕣㈴㠳愵ㅥ㐴㤹〳愶晥〹㉤㠸㤲〴戶㠴㠱㍤っ昱昴〲㝢挴㙢攱〵收〶昴㈶晡㉡㤷㍤㜲捤ㅦ㍥戴晣愵㙦㝤愹昳㥦㑦㕤昷㠳㙢㤶慢㈷搰㈲㈸戰摤戵〲㝢搶慤愸晣捣㉤昱㈴㉣㐹㘰愷㍢㠱㍤㠳戲〴昶戴㍦戰㌳ㄸ搸㙥慦㥢㕥户㥣摦㤳㡣ㄸ搳〷㠱㘲㥦〳㝢ㅥ㉤㠲〲㝢愲㔶㘰㡦扢ㄵ㤵㥦慦㈵㕥㠰㈵〹㙣愵ㄳㄸ搳〶〹散㌱㝦㘰慢ㄹㄸㄳ㠲改㡤搸㑢㕥ぢ㉦㌰て㤲㥡㔳㜱て㕡〴〵昶㜰慤挰ㅥ㜲㉢㉡㍦㑢㑢晣ㄲ㤶㈴戰㜵㑥㘰扦㐱㔹〲㝢挰ㅦ搸〶〶昶㕢慦㥢㕥昷愶ㅣ㌱㈶て搳ㅢ㌱㈶づ㐱㠱摤㕢㉢戰㝢摣㡡捡捦捤ㄲ慦挲㤲〴戶搹〹㡣㐹㠳〴㜶户㍦戰㜳ㄹㄸ搳㠱改㡤搸㥦扤ㄶ摥㠸㔵摥㘳㠷ㅤ摦ㅦ戹攳摡㙦㝣慢攳㠰㐵愷㝤㜳攳ㄵ换ㄵ昳㠶愰挰扥㔰㉢戰㍢摣㡡捡捦挸ㄲ㝦㠳㈵〹散晤攸扢ㅥ㘴㜴晣ㅥ挱㡤敥㜶㝦㜴〶愳㘳㑡㌰扤攸㤸㍦㤴つ㥢㌷攰㌵攷㈳㜳㠷愰攸㜶搵㡡敥戳㙥㐵攵㌷㘲〹愶ㅣㄲ摤ㄶ㌰捤㜵㡡㜹㠳っ摢㑤晥挰㌲㤰捥㘴㐶㌰扤挰㤸㍥㤴〵㌶攵戰㌱㜵〸ち散扡㕡㠱㕤敢㔶㔴㝥晢㤵㘰挶㈱㠱㔹㘰㄰ㄸ搳〶〹散㙡㝦㘰ㄷ㐰㍡㤳〹挱昴〲㘳昶㌰扤挰㤸㌹〴〵昶昱㕡㠱㝤捣慤愸晡愶㡢〹挷㔴摦㜴昹晥㔲㙡㈶㈶㔳㈴捤㌳㥥挶戴㈳㘶㡥㠰㔳㥥㑣㌶㉢〷㈴㑤昸攰愲㠰扦㔵㕡㡢㉦㡢昰㤹〵晥㙥搶摤敢攳㡢㈳扥扦昶㕥改㙢㈹戱㜱㌴扤扥㠰㜷晣つ改㌵㌶扥㄰㑢挵昰户ㄶ挵㈲晥搶昶㥤昰㌵〶㡥慣㜸〳攲㜲扥挳〸㍣㉤攲㌱搰㈴ㅦ捡㤴昰昰晥〴㈹捣敦㌴昶敦㘳戱攸㜶㡥扣昳戱㔱㌲㔵昶〹㔲扤晡㈸〶搹㌹〶戸㈴攴收ぢ攱㤰㘶㌲㈸昹㡥愴捣㈰㜱晤㐱㡡㌶愱摢㐲㐲ㄱ㈶㘱㤵愱昱昴㡥㡦换㔰挵㥦ㄱ㌵㌶㝡愷㙢愸ぢ㈹收㐰㥣㐳搱て㠳搴敡搸愵㠱ㅤ扢ㄸ㉤㉡㍡昶ㄱ㡡㑡ㅤ㔳㑣愲搸㌹敦㔲捣㑣挴摤㘵㘰㙡戹晢㔰愰扢㥤㘸㔱攱敥㑡㡡㝣敥㤸摡㤴戹㈳〰攲敥㉡㌰戵摣㡤〷扡晢㌸㙤て戱攳㔸昱㐹攲晡㤳ㄴ昹摣㌱攱㈸㜳户づ〲㜱昷㘹㌰戵摣㡤〶扡扢㠶戶㠷捡摣㕤㐷㤱捦摤〶㤴换摣昱搹㉡敥㙥〰㔳换摤搶㐰㜷㥦愱敤愱㌲㜷㌷㔳攴㜳挷㠷㜳㤹㍢㍥昱挴摤㉥㌰㠷攲㔰㄰晦挳〶昹摢㤶㔱晣戶挷㐶㉤㝣ㅢㅡ㔶㈹捦摦敦ㄷㅥ㕥㥡挴㥦愳昱㈱晡〳攳愰㜹ㅢ㐵㍥㝦㝣㤶㡡昹㝦〰㔳㉢㥡昷㝢搶㐳晥㕢攴づ㥡ㅡㄲ挳ㅣ㉣㡥搵㥤ㄴ昹慣昳㘱捣㘸敥㕥晥ㅦ㘷㕣㜴挶挷扡ㄴ㥦㜰攲敥㡢㘰㙡戹㍢㌷搰摤摤㘸㔱〱摥㍤ㄴ昹摣昱ㄱ㔹〶ㅥ㥦㍢攲敥㉢㘰㙡戹摢ㄸ攸敥㝥摡ㅥ㜲㘰㜳愳㝢㠰㈲㥦㍢㍥戸晣敥㈲㕣㌴昶㜹㑤㈳㘶〷㘱昵㜷晦㈷㈰晣㤴㙥㕥ㄶ㙢搳㍥㝣戹昸㄰晣㈸㉥㐷戴愱ㅦ㜶ㄹㄹ〴㉥て戲㜶㍤㐲㈹㔷〶搱昹㥡㕦㠷昷戴攸㝣㥤㔲摥捥愲昳愸㕦㠷㌷愲攸㍣㐶㈹敦㐱搱昹㠶㕦㠷㜷㡦攸㍣㑥㈹㙦ㅣ搱㜹挲慦挳㈹㉦㍡摦愴昴㘶㑦攷㐹扦づ愷愹攸㝣㡢㔲捥㔰戱昳㤴㕦㠷㤳㑤㜴㥥愶㤴昳㑣㜴㥥昱敢㜰㠶㠸捥戳㤴㜲㜲㠸捥㙥扦づ㠷㔵㜴㥥愳㤴㈳㉡㍡摦昶敢〸扣㐴昶㍢㤰㝡㔷㠲㌰㑢㌲昳㡦㘰㤰捣〸挰㔵㕡〴㕡戴扥敢㘸〹挴㔵㕡㠴㕡戴㥥㜷戴ㅥ挳㉦改㐷㤹㐷㠲㉤㕡㉦㌸㕡〲㜳㤵㉤挲㉤㕡摦㜷戴〴攸㉡㉤〲㉥㕡㍦㜴戴〴敡㉡㉤㐲㉥㕡㉦㍡㕡〲㜶㤵ㄶ㐱ㄷ慤ㅦ㌹㕡〲㜷㤵ㄶ㘱ㄷ慤㥦㌸㕡〲㜸㤵ㄶ㠱ㄷ慤㥦㠹㔶挲〳㐰ㄱ㘵挹ㄵ攷攲昶攴昹㐰㌷摡挶昰晡㤳挰㑡挵㜱ㄵㄵ挴㔲㉡㡥慤愸㈰㝣㔲㌱愷愲㠲㠸㐹挵㌱ㄵㄵ〴㐹㉡㤲ㄵㄵ挴㐵㉡㡥慥愸㈰ㄴ㔲㜱㔴㐵〵愳㤷㡡搹ㄵㄵっ㔸㉡㡥㉣慦㘸晣㝦㡤㈳愵㍦</t>
  </si>
  <si>
    <t>㜸〱捤㕡㕢㙣ㅣ㔷ㄹ摥搹摤㔹敦慣搷昶㈶㑥㉦㐹㙦㙥㘹㥡㔲愷㔶㥣㌴㈴㘹㠹㤲昵㍡㑥㥣㌸戱㘳㍢〹戴㠵昵㜸攷㑣㜶攲戹㌸㌳戳㡥㕤㔵㉤て㍣㔵㠲㠷昰搴㔲搴㥢㐴㘹ㄱ攲つ㜱㝢㈹㈰㠱㈰㍣㔱愹㔴攲〱ㄵ㈴㑡愹㔰ㄱ㉦㝤愸㔴扥敦捣慣扤扢㕥㍢愹ㅢ㈴㥦搴晦㥥晢㥣昳摦捥㜷晥搳㠴㤲㐸㈴㍥㐵攲㉦㔳㥡㤹㍢愷㤶㠲㔰㌸〳㈵捦戶㐵㈵戴㍣㌷ㄸ㈸晡扥扥㌴㘶〵㘱ちㅤ㌲㘵ぢ敤㠱㕡づ慣愷㐴戶扣㈰晣〰㥤搴㐴㈲㥢搵㤲㘸攷㈴晣㉢搴ぢㅡ㐷攵搳㈰搳愵愱昱搹㑢㤸㜵㉡昴㝣戱扢敦㝣㌴昶昰攰攰挰攰挰晥㍤〷昶づ散搹摤㔷慡搹㘱捤ㄷ㠷㕤㔱ぢ㝤摤摥摤㌷㔱㥢戵慤捡㈹戱㌴敤捤〹昷戰㤸摤戳㙦㔶㝦攴攰攰㈳晢昷㥢㠷づㅤ捣攳搳㠹㌳愵愱〹㕦㤸挱捤㥡㌳挳㌹挷㑢㐳〳㘷㐴㜸戳收散挰㥣㤸㜲搸㜳㜴换扤㐹㤳慡攴敤扥㘱㔱戱㈸〴㈱㝣换扤㌸㠰㘵㌷㌱ㅡ愵〳〳㈳攰㜸㐵て挲㤲戰敤㐹㘱㜲㌱㜹㠷㍣ㄳ扥㜰㉢㈲攸㜶㡥㉤㔶㠴ㅤ㌷〷㔹攷扣敥㥦搱ㅤ㤱㘶愶挷㠹攴㌶㙡〸㌷戴挲愵㉥攷㕣㈰㈶㜵昷愲㘰ㄷ搵㌹㕥戳㡣㜴㕡㐹愷ㄳ愹㕤敤ㄶ㈳㘵㌳㌰攲㔷㑡㔵摤て㘵㠹㔲ㅢ㙣搷户㐱㐳攴挲㥢㤶㐵㉤敡㙢ㄹ㐵㌱㑤㔹捥㈹攱扢挲收㐷㈸扣晥㤶㑥㤲㈷ㄱ敢㤷㤹㔳摦つ㜹愱㜴挶㝡㉦户㠲ち㉤㑢愲㠱㘴㜲㈰戹昳挵戱昱挹㜲戱㔴ㅣ搷㍡搹㤲〷㔱搲晦㠵昹㌴㡥㘴㔳戲慣㈷换戳挹㜲㈵㔹㌶㤲㘵㤱㉣㥢挹昲挵㘴戹㥡㉣㕢挹昲愵㘴㜹づ㝤敡㈹摢搱㤱㡣搳愹㤱㤷摦㥡昸㘸搷㠹敦扦㜲晡㠳扦晤改摤㘳昹㙥㜴㍡ㅢ慦㙡搸搷慦㐰戴㉢㕡〳㔳攱扦敢㥢ぢ慣挵摣㙦ㅥ㌰〷〷㡤晤㝢昴㝤扡捡㝤摤愸㤰戶愱㙦摥扣㘰戹㠶㜷㐵㑡㉤㙦㡥㔸㜶㈸㝣㔹攸㌱昱ㄳ㘹㥥㉣㜷㤹挷ㄶ㘱戲㤵㐸挰摢捣㤲昰㐳愸㝡戸戴㈲昵㍢㠷昴㐰慣ㄴ晢攳戹㠷扣㥡㙢〴㜷戴㙦㥣ち昵㔰散㘸㙤㕢㤹㘴搵戰㈹㤸㠱〸攴㤲敥㙥ㅤ㜶㕥户㙢愲戸㘸㐵捤㜷戵㌴挳㈰扣搹戵㕢㐷㝣㜱㜹戹㜵搵㡡㡡昰㤶ぢ㜲敥㔵扢㡣㥡愲㜵昵㤵慡㕥㈰㕣戹扣㝥㘷挲慡捣〹㝦㑡搰搷ち㐳㙥昵ㄶ㌶挵㔶搹㍦敥㘲愳戰㌳攳扥挶㕡㌲㕡戸㠶㌰戰摥㜹㜰㜹㘹㕡㥦戵挵慤㑤㕤愲㙦愲㘱㝢㔳昵㠸㔷愹〵㈵捦つ㝤捦㙥㙥㈹ㅡぢ㍡㍣㠱㜱摡㌳㐴㕡愶㐴㐴㤵㐴㉡愵㈸㠹〷摢㤹ㄴ攷づ㘸㜴つ㑡㐲搳㕥扦㜳㠳ㄲ戱㜳㕢㘳㕤㥥ㄹ㤹〶㈵㘳晦㉦慥扢㤲㐶㈵㘴敦㍤敢昶㙥愳愴ㅣ㜴㝢戳攱つ㑣㐲㍥㤰㠳㉤㘸㤵挹晢搷㥥㜲㐵㉦慦戳搲〶愹昰㘸㘵敦㜵㤸㈶愷㕤搶扤晦㙦攷㘴戲㌷摥晤戱〵昸晢ㄳ扡㙢搸挲㕦ㄷㄸ㈸㕣㤱搶㐳㔲㈰搹㐲戲㤵愴ㄷ㐴晤㄰㙥㜲㑤㡥搲愷㉢㡢捡㤲㝡挵㌲挲㙡愶㉡慣㡢搵㄰㜵〰ㄴ搹㉣搹㍤ㄳ晦㙤㐵捦ㅡ㔱㠵㜶ぢ挹慤㈴户㠱攴㜲㠹捣敤昸㠵愷搶戶昳㘷〷㐸敦㐹ㅤ挷㠱摥㘷㠸㍥㜰㝡挱ち㝥晤㥡㤷㑢愸㜴攸㥦晤搸㤱ㅦ㤵愷ㅣ㘰㐸愰㍡㌸㑣㠳㔴慡ㅤ㐷㑥攸㐱㌵愴㌱慥摢挸㉤㙢㜷㤰摣〹㤲扦ぢ攴捣〹㘱挳㤴㙦ㄶ㠲㔱㜹ㄲ㕤昷愴愴㠴㙥㜵愶㤶摣㑡搵昷㕣攰戹㘱㍤搴㡢ㄵ挰㠱㐰搱㌳捥㤸㔷慡㠵ㄹ攷㠴㠵㥦扣㌳㈹收㠵ㅥ㤶攰慡挳㉥㘷っ㔰㐲晡搲㔱㘳㔱㜵㈲ㄴ㌰㉣㠲㡡㐶戸㌰ち搷戴㤸㐱づ扥㌶敦搰搹㠸挵㤰㔳㜷㌸ㄳ㍡攰㐶愸愱㔳扦ㅣㄵ攵㌸戲㑢搶搵㐷攷攲ㄲ㘶㈸挸㙣挳㉣㥤戲㈲㥡㈹㐱㔶㈶攰㥤ㄲ愹㜴㑣㕢慤攸㕣㘸搹挱㐰捣摥㠱㘱て㜰㔲㐸㐴㑢戶㘷㌲㔰戲捣扡挲㙡㌵㜶攲㡤昱捡㙣㌴㉤㤶㜲摣昷㙡昳挴ㅣ㌷㙢ㅥ捥㤵搰敥〶㜹改㍦㙦㍥戶昳㝢㍦晥㌴晥㝤ㄶ㘶㈴㤳㐶㐸愲㔱攷㔹挴㡦㑣摡扤昸挹慤搷愶ㄲ戵戴昵戶㙢㐰㈳㥡㜵摥挱㙥愷㝤㈱戱㕥㔶ㄶ㤶收㐵㤷㜳挱昳攷㘶㍤㙦㡥挲敦㤶愵愰㉡㐴㐸〰搵ㄹ攳㐵收ㄵ㐵㐹愵㥡㌰㔲〳搲㈲昴捡散〴戹㙢摡㌳扣愰て晦ㄵ晤换㌵㙢〱ㄹ㔸敥戴慦捦敡㜶搵换㍣㠰㉥㈹㐲扢㕤挸散㉤ㅤ㉢づ敤愳㜶改扣㥦昰扣戲扤昳㡦ㄷㅦ㍥慤㠷扥昵㤴㈱愶㠴ㅢ㔸戳㤶㙤ㄹ扡㈱〶ㄶ敤㘰㔱昹㌳昸㐴戰㜶摦昱㙦扦慥晦摣ㅢ㝤敥㠳㘷㝥㜸挷㥢㠷摦㔳摥㠹ㅢ㕡攱㤷㑡㘷搶慡㑡ㄲ㐵㉥ㅦ㑣つ㐷ㅥ摤㔴挶㍣攷㕡㘱搰㘹ㄶ㙢愱㌷㘲㠵挳㐱㤸㌷㐱㤰㤵㐳㜶㐸ㅦ摥㌰愸摦㍣㙦㠹㉢搳㘰收㍤慢㥢〰戰㑢戵㈰昴愴㤵摣扤扡㝤搸㍢攳㠵挳㔶㌰㙦敢㑢昷户㘹㡥㕡㉥㔴㠵ぢ㔰攱〳㕢㕣慦㤳㌷㍦㉦㡣㌶㙢㥣昲㙡㝥㐵㡣づ㙦〶㔸愲㐴收㥥㠰㐶挱搸㤵㥤㙢ㅦ挳つ㝣愷づ㈷愱㠵捡〶㑦㌵㜹戴㘸晤㤸〵昷㕡〵愷㡤戶ㅢ㔹ㅣ㍡㉡㡦扡昵㔵愴〱攸搰㈱攷㑣㠸㌵慡敢㡡㤱昴㈸㔴搵㄰戹戸㜴摡㜲扢攳散㜸㉤㙣㙡搱ㄷ㝢攳㤶愲㙤㡦扢㄰㝤㐵昷㡤捤㈰ㄵ㙣っ㈹ㄲ㠹㤲挱扦㡤㌱㍡㥡㈶㤱昸愸ㅥ㤰昸攸㔹㜸戳㠷㔱㑤㕥ㄳ㔱戴昵㕣换收㠸㑣〳㑥愴昹㜶㤱摤换搵㔹㤶㑥ぢ摤㤵㔲㤸ち㡤㘱戱搰㉤㝢〸㈸㌸敥戵戶攸㙤㉥捡〳㑣㌳㡢戳㠱㘷搷㐲搱扤㥣㤳㠶慥㤹㤳〰ㄸ挴晣昹攵摣㐴㈵挴慤㘸㜹㍥攲昹捤㈳㈱㜰㈴ㅤ㑢㐹㤱㜲捡慣愳扣捤㥢愰つ㙤㔰慡㌸㥡㑤㤹晥㝤㐴㜹攱㜹愶㌷㡥㈴敡㤹ㅣ㔳㐲㈵づ戹㜱㔰㑦㑢敡慤摦㌵㈳て㈷㥤㔷扥㕥㐷㍣摤㘵㑡扦㠷㑢㌳㐳ㅡ㍤㌴ㅤㅢ昱愶搰慡攸戶扤搴㙤㡥扡ㄵ扢㘶㠸㌱㝤㔶搸㜵㥦敤昹捥㈶㤱㤷っ挵㐵戲㕡㠷㉦昱㑤㘷ㄴ昱戸晡ㄵ㘲挳㙥㉥愱つ㠰慤ㄲ㔳㘰㡥㥣戶〷㈵㡡㠶昸晤㌳摦愰〸㑦戶慥摣晦㘵愴〸慥㙤㔵ㄵ㝤ㅡ㤱攴昲㈵㑣㕡㕣㐳户㌱㙦捣挳〵搹㘸愸㍡㘱㐵㔵㥢挶慥愴㤸㌲㤹捣㐶て㤸慢摢摦㕦㉣㔵ㅦ㌸㝡攸㥢㌳㑥㌵晤挸搱㍦扣晦捥户捣愵扦ㅣ㠱ㄴ愴㜱昰戲搳㡡㐱ㅢ㠰㠸㍣晢愵ㄳ攴㜱搴㐳てㄶ〱㠷㘹㉢戴㐵愷㈹摢㘵㍥㑢㤳㈰㌷㍢捣改㉡昰摣㜰㤷㜹摣户っ摢㜲〵㐱〸〲㌶㡣捥㡤㠹㡢〸㉤㑣㜸㠱㐵㜰搵㘵〲㠳戹挱㍣㘱㝢㘵㘹㙢㔳㐹ち㑢㌵㠷㉣ㄷ〶ㄴ㝤㤳昹ㅥ㜳慡敡㕤㐱晣戸收戸挷昵昹㘰㔳〸㡡ㄱ改㈸㐵㔶㤵㔴㤲㐹㈵㥢捣㙥昴慣㤲㈸㥢㠰㈰戱ㄷ搳㈶㐹㘰㉥㌴ㄸ㕥㑢搷戱㔹㑡㉡づ敥搰㘶戹慥愶㌸㙣摢㕢攵㜲〰㥥㝥㔸攳挷昲晢㐰㑥ㅥ㍦㌷扡ㄲㄲ晣㕣㔱㜴㤵ㄷ改㜵㡥〳愹ㅡ换昱〷慡㘴㜷愴㉥慣愳昶㘸㔲敡㉣戵慡㘰捥㤴㝤愸㡤㌸㐱搹㥤搹ㄱ摣ち昳㌰㝥戸㕦摣愶攱㜷扢愳〲㈱㥤愳摢㐱摣㔶昲ㅣ㐷愷㝡㔱㌵愷攰扢㐵㔶攲㙢㜸ㄳ捤〴㤱㍡ㄸ㔷改㡢愸搲ㄷ㘵ㄵ㡥㘴挶ㄴ㘵㥥㜳㜹ㄷ㜵摦ち慢㡥㔵挹戲挰戸摦愶搰㑢愸㤰扣挱㠲愱㑣㔲㌹〱㔶㕢㙦敥搱㘵ㄳ攲ㅥ挰晤㠱慣愳昸愱扤㐹㜹㡥㉢ㅢっ搸㐰㝤愵挳搷昶㘳㌶㔵扥搷昰づ捤搴〰挲㔰㈳㌵㕢㘱㙣㠵捤摡㤷攲っぢ㘹㠶㌱搶扤㍦昳㡥㤷ㅢ昳㜴㘳〴愱㘱捦敦㠸㕦㝤戲㄰㉤摤㡡㕦㘰捣愴㠴㑢ㅣ㠲㤹ぢ挰挲㝥㤶ㄵ㔳㠸㐶愴ㄹ㙤挹㐴㌲㈴㙦ㄲ慡摡㤹㙤昷慤搱晡㕣昷挷㜷换挶搷慢搱㔵昳㝦㜸昶攰ㄱ㉣ち摢攲昳㠹㜶㠰攴㈰㠸挲㘸っ昷搳搲攱㄰㍢㍣ち愲昲㔲摥㙡㈵㙢挶ㄷ㌸戹敡㌰敥㤱㜵戸ㅤ㐰㡥っ愲㈱㠸㥦㠰㈵㤹捥㉣攳て摡㘳㈰㝦扣㜶敤㌰㝥ㄲ捡扤㈰昵敦搳搴㜳㌹㌲㑦晢㌲〹㝢愸扣㠵摣搸慤㠷〳ぢつ㔷㔱摡㘸戰挵㍣㕢搳㙤㍣攰㡣〳て㠵慣摡っ㐶㤰㡥㔰㘹敢愳㐴昳扢づ㉥㜴㜲ぢ㑦㝣㡤攱㤱㔶ㅥ㌴昷㡤昷ㄶ戰攷挶㔰㙢㑥晤ㄵ攲〲㌷昶ㄵ㕡㐱挷〲㘳㕤攵㌲㘲㐰㈸㔱昰㌹㡤㉡㠶〳㐱攱㙤㔱㥡捤搱㌸挳㠲挲㝢㡤慣㉤㈲㔳㑦㉡㌱搸㍡㠷㐷ぢ攰攳昸摥ㄵ㔵愷㔳敢户昹㑣摢捥㐶㥡捦㤰㈱っ㔵㠸昱㔶慤㐱攱昱㈲㙢㠷攳㡣搴㘳扡㠸敢㝡㈵扡㌲㕣㘵攱㥦愶挲㈵ㅢ㘷〲戳㡣て㐵㌹ㅡ㐱搴㡣㐵㝢㍥㐰㙥扡㌵㉡扣㍣㤶ㄱ㤵捥㙤㉤㔱㜸㌹㡣㉤㜴㝦敡㉦㈰愲㌵挷㜳〷㉢㔲攱ㄸ愶捣〸挸戶搳㔶挵昷〲捦っ晢愶㠰㙤晡昸㉥㘳〲攵ㄶ搵㥦㘱挶戶摦攴挶搲㉥摦㍡愵愰㜳㜳慥㜷挵㤵慢㔱〳㍥㑦㐹㝥㜵㜴昰㌳挴扥㌲㝤〱㕣㉣搰㔵㜲戰㜶〲愴㉢㔵愰慦㘱㉡搰摦㌰ㄵ攸㕣㤸ち㜴㌰㑣㍤㜴〹㥣㠵慡㜴㔳㔳㠱㡥㠴搲捣㡣㠲攴㑢㐳㘵改㕢㈷昱㠴㤳㌹㠹㥡㉤愸㘹㝥攸捤㥣㐲㜵㌷慡ㅢ㘰㑢㠱㥥㠸戳挸搷㔱敤㌴㜳㝣㔴㔴愸昰㤲ㄱ攳挸戰〳晦ち㐷㐱㈴〷㈶㤰〱〷㡡昸㘱㔲愴ち㈲愳㉤搷愰㔰ㄸ〶㤱摤㈷㤱改㑡愹攴摢㘳㙢挷㜹ㅡ搶搵て敢㘸㝡ㄴ㍢㠶㐷慥㈵㥥㙡㈹㥣㈳慡摣㙡㍡昹攸挶收愲敦愱㐷㤶㝦㍦㠲㥡㝣㡥㜹挸愳ㄵ搵攴㡣昷攰㑦㥢〶㔱挸㑤〶㘹戵㥤㈴て㤰散〲㔱㝥㠰㑦戶㡤㕦扥ㅥ㌷戴挶㉦ぢㄴ㠲㘴攴攳㥣攴〹㤲㈷㐱㜲ち攵㐰慥㉡慦㘱㈸户挲搰㑡㌶㤹㔲挹昱㠷搶㘶㑦〴挱㔶摥㔶ㄹ㘱㔱㑤㕡㜷愷ㄹ㍤㙤㤲㐹㌲㤲㘵㑢搳挸〳㡤昹㜸摤ㅣ挳〵〳ㄸっ㙦昴戱㜲攱攲挱㔳戱㝥摥㙢戲挴挱ㄹ㜳摣〷〰攸㌰㐷〳㕣㘳㡣㉣㥥ぢ㐲扣㌶扢㥢攱㤴㠲戳㑡㔳㤹愰㑥っ㍥㈶摢晡〹㍡㠰㔶㝣搰㜰㔷㕢攱㐷晤扥㥥㈴㠸摢搸ㄹ㤵昹㍡㍥戶つ㙡㡤晦戳㐳㐶换攷敢敦㕣㐹攵ㄵ㠸㤵捥㉣昷慦扤摢㍦攵㥡㠱ㄶㄳ摡っ㝥愴㑥㈹㜲㈳㠸㘵㙡戳慣㘲㠴㔳㤲㠴㑡㈵㙣摤ㄹ摤昶〸㐷戴扣搰㜵㜶㜲扢㙦ㅣ昹攷搱㘷㡥㍥㔷㔴愸㘷㔲慦㕥㡣昵㡡摥㈶㥢捣㈸搴㍤搹昰摤戸㠱づ㈴ぢ㤴㑢㝤㤴つ㉦挴つ昴㈰摡㐵㄰㜵〶攴㠶ㄹ㐹㠳摡攰㌹㔸挵㔰㠵㑣攰ㅣ㥡〵挲㡤昲慦㠷敢戸挰挲愲㔲㤹㌱㘶㘶㍥敥㐹昷敤㐸㝦攵㘸晥昹扦晥晥扤慢㙦㍦㜹昸ㅦ㥦扣昸攲摢㝦扦㝡敤㤳㕦捥ㅥ晥敤慢慦晥收攴㑢搷摥摢㙡扥㥣晣挹挷㘳㉦㍦㍤㌸昷昴㘵昳摣㐳挷㥦晥敡愵戳㠳ㄳ㕢晡㔳愹㡥㡥㕤扤扦扢晤挱挲㌷㉥晦㔴㜹敢摤摢㕣㐵㝥ㅢㅦ搰㉥㠱㌰昱㝦户㈸㜰つ搲㙥攷㤰搱㙣㤰慥㘴㠱㍤㔸搹㤵㔶㔸㉤㤹昶㥤㤸㘹㐳愸挸㈲㌲捤慥戲攱㙡摣挰㜸㠰收㠱㈸㈴㌳㉣捤戳㈴〹㑢㜵挷㡢㝣愲昳㝦敤〷㥤㑡</t>
  </si>
  <si>
    <t>% da Receita Líquida</t>
  </si>
  <si>
    <t>Baixa de Ativos e Encerramento de CD</t>
  </si>
  <si>
    <t>Bradescard</t>
  </si>
  <si>
    <t>Alíquota Efetiva %EBIT Recorrente</t>
  </si>
  <si>
    <t>Margem Líquida</t>
  </si>
  <si>
    <t>Retorno Sobre o Capital Investido - Ex. Cash (ROIC Noncash)</t>
  </si>
  <si>
    <t>Shopping</t>
  </si>
  <si>
    <t>SP ABCDM / LITORAL</t>
  </si>
  <si>
    <t>Rua</t>
  </si>
  <si>
    <t>SANTO ANDRÉ</t>
  </si>
  <si>
    <t>CENTRO - SANTO ANDRÉ</t>
  </si>
  <si>
    <t>SHOPPING ABC PLAZA</t>
  </si>
  <si>
    <t>RUA AUGUSTA</t>
  </si>
  <si>
    <t>MAUÁ</t>
  </si>
  <si>
    <t>MAUÁ PLAZA SHOPPING</t>
  </si>
  <si>
    <t>TABOÃO DA SERRA</t>
  </si>
  <si>
    <t>SHOPPING TABOÃO DA SERRA</t>
  </si>
  <si>
    <t>GRANDE SÃO PAULO</t>
  </si>
  <si>
    <t>SHOPPING IGUATEMI ALPHAVILLE</t>
  </si>
  <si>
    <t>PRAIA DO GONZAGA</t>
  </si>
  <si>
    <t>LITORAL SÃO PAULO</t>
  </si>
  <si>
    <t>SHOPPING MÓOCA</t>
  </si>
  <si>
    <t>INTERIOR SÃO PAULO</t>
  </si>
  <si>
    <t>TAUBATÉ</t>
  </si>
  <si>
    <t>CANTAREIRA</t>
  </si>
  <si>
    <t xml:space="preserve"> CANTAREIRA NORTE SHOPPING</t>
  </si>
  <si>
    <t>VOTORANTIM</t>
  </si>
  <si>
    <t>ESPLANADA SHOPPING</t>
  </si>
  <si>
    <t>SANTA BÁRBARA D''OESTE</t>
  </si>
  <si>
    <t>TIVOLI SHOPPING</t>
  </si>
  <si>
    <t>Shopping Itapecerica</t>
  </si>
  <si>
    <t>CENTRO - SÃO BERNARDO DO CAMPO</t>
  </si>
  <si>
    <t>SANTA CATARINA</t>
  </si>
  <si>
    <t xml:space="preserve">São Caetano do Sul </t>
  </si>
  <si>
    <t>CENTRO - CAMPINAS</t>
  </si>
  <si>
    <t>SÃO JOSÉ DOS CAMPOS</t>
  </si>
  <si>
    <t>VALE SUL SHOPPING</t>
  </si>
  <si>
    <t>CAMPINAS SHOPPING CENTER</t>
  </si>
  <si>
    <t>RAPOSO SHOPPNG</t>
  </si>
  <si>
    <t>GUARATINGUETÁ</t>
  </si>
  <si>
    <t>JACAREÍ</t>
  </si>
  <si>
    <t>SHOPPING RIBEIRÃO PRETO</t>
  </si>
  <si>
    <t>PANTANAL SHOPPING</t>
  </si>
  <si>
    <t>MATO GROSSO</t>
  </si>
  <si>
    <t>MATO GROSSO DO SUL</t>
  </si>
  <si>
    <t>CENTERVALE SHOPPING</t>
  </si>
  <si>
    <t>RIO PRETO SHOPPING</t>
  </si>
  <si>
    <t>MAXI SHOPPING JUNDIAÍ</t>
  </si>
  <si>
    <t>SHOPPING TAMBORÉ</t>
  </si>
  <si>
    <t>CRICIÚMA</t>
  </si>
  <si>
    <t>Nações Shopping</t>
  </si>
  <si>
    <t>Criciúma /SC</t>
  </si>
  <si>
    <t>JOINVILLE GARDEN SHOPPING</t>
  </si>
  <si>
    <t>SHOPPING PLAZA SUL</t>
  </si>
  <si>
    <t>SALVADOR SHOPPING</t>
  </si>
  <si>
    <t>BAHIA</t>
  </si>
  <si>
    <t>Shopping Catuaí Palladium</t>
  </si>
  <si>
    <t>Foz do Iguaçu/PR</t>
  </si>
  <si>
    <t>INTERNACIONAL SHOPPING</t>
  </si>
  <si>
    <t>BANGU SHOPPING</t>
  </si>
  <si>
    <t xml:space="preserve">Montes Claros </t>
  </si>
  <si>
    <t>MINAS GERAIS</t>
  </si>
  <si>
    <t>SHOPPING ITAQUERA</t>
  </si>
  <si>
    <t>SHOPPING PARQUE DAS BANDEIRAS</t>
  </si>
  <si>
    <t xml:space="preserve">Praça Nova Araçatuba </t>
  </si>
  <si>
    <t>Araçatuba/ SP</t>
  </si>
  <si>
    <t>BRISAMAR SHOPPING</t>
  </si>
  <si>
    <t>POLO SHOPPING</t>
  </si>
  <si>
    <t>CENTRO - PORTO ALEGRE</t>
  </si>
  <si>
    <t>RIO GRANDE DO SUL</t>
  </si>
  <si>
    <t>BALNEÁRIO CAMBORIÚ</t>
  </si>
  <si>
    <t>BALNEÁRIO CAMBORIÚ SHOPPING</t>
  </si>
  <si>
    <t>Shopping Carpina</t>
  </si>
  <si>
    <t>PERNAMBUCO</t>
  </si>
  <si>
    <t>NITERÓI</t>
  </si>
  <si>
    <t>SHOPPING BAY MARKET CENTER</t>
  </si>
  <si>
    <t>GRANDE RIO / INTERIOR</t>
  </si>
  <si>
    <t>BRASÍLIA</t>
  </si>
  <si>
    <t>ALAMEDA SHOPPING</t>
  </si>
  <si>
    <t>DISTRITO FEDERAL</t>
  </si>
  <si>
    <t>SHOPPING IGUATEMI PORTO ALEGRE</t>
  </si>
  <si>
    <t>CENTRO - ALCÂNTARA</t>
  </si>
  <si>
    <t>PALLADIUM UMUARAMA</t>
  </si>
  <si>
    <t>UMUARAMA/PR</t>
  </si>
  <si>
    <t xml:space="preserve">SHOPPING RIO MAR ARACAJU </t>
  </si>
  <si>
    <t>SHOPPING METRÔ TATUAPÉ</t>
  </si>
  <si>
    <t>Super Shopping Osasco</t>
  </si>
  <si>
    <t>CEARÁ</t>
  </si>
  <si>
    <t>CENTRO - TERESINA</t>
  </si>
  <si>
    <t>PIAUÍ</t>
  </si>
  <si>
    <t>MOGI SHOPPING</t>
  </si>
  <si>
    <t>BONSUCESSO SHOPPING</t>
  </si>
  <si>
    <t>SHOPPING CIANÊ</t>
  </si>
  <si>
    <t>CENTRO - PELOTAS</t>
  </si>
  <si>
    <t>SHOPPING IGUATEMI SÃO CARLOS</t>
  </si>
  <si>
    <t>Rio Grande</t>
  </si>
  <si>
    <t>CENTRO - GUARULHOS</t>
  </si>
  <si>
    <t>SHOPPING MAIA GUARULHOS</t>
  </si>
  <si>
    <t>ARARAQUARA</t>
  </si>
  <si>
    <t>SHOPPING JARAGUÁ</t>
  </si>
  <si>
    <t>CENTRO - OSASCO</t>
  </si>
  <si>
    <t>PARANÁ</t>
  </si>
  <si>
    <t xml:space="preserve">CARAPICUÍBA </t>
  </si>
  <si>
    <t>PLAZA SHOPPING CARAPICUÍBA</t>
  </si>
  <si>
    <t>CARAPICUÍBA SÃO PAULO</t>
  </si>
  <si>
    <t>Shopping Park Lagos</t>
  </si>
  <si>
    <t>SHOPPING CATUAÍ</t>
  </si>
  <si>
    <t>Shopping Park Europeu</t>
  </si>
  <si>
    <t>SHOPPING - BONSUCESSO</t>
  </si>
  <si>
    <t>CENTRO - CURITIBA</t>
  </si>
  <si>
    <t>SHOPPING MÜELLER</t>
  </si>
  <si>
    <t>SÃO LUÍS</t>
  </si>
  <si>
    <t>MARANHÃO</t>
  </si>
  <si>
    <t>SHOPPING PARK BARIGUI</t>
  </si>
  <si>
    <t>Shopping Park Sul</t>
  </si>
  <si>
    <t>Volta Redonda/RJ</t>
  </si>
  <si>
    <t>BELÉM</t>
  </si>
  <si>
    <t>PARÁ</t>
  </si>
  <si>
    <t>MARINGÁ</t>
  </si>
  <si>
    <t>SHOPPING PÁTIO BELÉM</t>
  </si>
  <si>
    <t>Shopping Norte Sul Plaza</t>
  </si>
  <si>
    <t>SHOPPING MINASUL</t>
  </si>
  <si>
    <t>SÃO JOSÉ DO RIBAMAR</t>
  </si>
  <si>
    <t>VITÓRIA DA CONQUISTA</t>
  </si>
  <si>
    <t>Vitória da Conquista</t>
  </si>
  <si>
    <t>MACEIÓ</t>
  </si>
  <si>
    <t>SHOPPING IGUATEMI MACEIÓ</t>
  </si>
  <si>
    <t>ALAGOAS</t>
  </si>
  <si>
    <t>MOSSORÓ/RN</t>
  </si>
  <si>
    <t>Mossoró/ RN</t>
  </si>
  <si>
    <t>BOURBON SHOPPING POMPÉIA</t>
  </si>
  <si>
    <t>Shopping Jardim Oriente</t>
  </si>
  <si>
    <t xml:space="preserve">Aracaju Parque Shopping </t>
  </si>
  <si>
    <t>Shopping Cidade dos Lagos</t>
  </si>
  <si>
    <t>Guarapuava/PR</t>
  </si>
  <si>
    <t>SHOPPING TERESINA</t>
  </si>
  <si>
    <t>SHOPPING PIEDADE BARRIS</t>
  </si>
  <si>
    <t xml:space="preserve"> CARUARU SHOPPING</t>
  </si>
  <si>
    <t>SÃO LUÍS/MA</t>
  </si>
  <si>
    <t xml:space="preserve">OLINDA </t>
  </si>
  <si>
    <t>CENTRO - RECIFE</t>
  </si>
  <si>
    <t xml:space="preserve">SHOPPING BOULEVARD CAMAÇARI </t>
  </si>
  <si>
    <t>SHOPPING FORTALEZA</t>
  </si>
  <si>
    <t>SHOPPING BARRA SALVADOR</t>
  </si>
  <si>
    <t>ITABORAÍ</t>
  </si>
  <si>
    <t>CENTRO - ITABORAÍ</t>
  </si>
  <si>
    <t>SHOPPING IGUATEMI FEIRA DE SANTANA</t>
  </si>
  <si>
    <t>North Shopping Jóquei</t>
  </si>
  <si>
    <t>CENTRO - COPACABANA</t>
  </si>
  <si>
    <t>CENTRO - SÃO LUIS</t>
  </si>
  <si>
    <t xml:space="preserve">SÃO JOSÉ DOS PINHAIS </t>
  </si>
  <si>
    <t>CENTRO - TIJUCA</t>
  </si>
  <si>
    <t>MACAÉ</t>
  </si>
  <si>
    <t>SHOPPING PLAZA MACAÉ</t>
  </si>
  <si>
    <t xml:space="preserve">JOCKEY PLAZA SHOPPING  </t>
  </si>
  <si>
    <t>SHOPPING PASSEIO CAMPO GRANDE</t>
  </si>
  <si>
    <t xml:space="preserve"> IPANEMA</t>
  </si>
  <si>
    <t>SÃO JOÃO DE MERITI</t>
  </si>
  <si>
    <t>SHOPPING PÁTIO ARAPIRACA GARDEN</t>
  </si>
  <si>
    <t>SHOPPING RIO CLARO</t>
  </si>
  <si>
    <t>CENTRO - MACEIÓ</t>
  </si>
  <si>
    <t>AMÉRICAS SHOPPING</t>
  </si>
  <si>
    <t>SHOPPING PATIO MACEIÓ</t>
  </si>
  <si>
    <t>CENTRO - MADUREIRA</t>
  </si>
  <si>
    <t xml:space="preserve">SHOPPING BOULEVARD </t>
  </si>
  <si>
    <t>PARAÍBA</t>
  </si>
  <si>
    <t>BOULEVARD SHOPPING SÃO GONÇALO</t>
  </si>
  <si>
    <t>BRASÍLIA BOULEVARD</t>
  </si>
  <si>
    <t>NOVO SHOPPING RIBEIRÃO PRETO</t>
  </si>
  <si>
    <t>ITAGUAÍ</t>
  </si>
  <si>
    <t>PATIO MIX ITAGUAI</t>
  </si>
  <si>
    <t>PLAZA SHOPPING</t>
  </si>
  <si>
    <t>SÃO GONÇALO SHOPPING</t>
  </si>
  <si>
    <t>NILÓPOLIS</t>
  </si>
  <si>
    <t>NILÓPOLIS CENTRO</t>
  </si>
  <si>
    <t>CENTRO - RIO DE JANEIRO</t>
  </si>
  <si>
    <t>MARÍLIA</t>
  </si>
  <si>
    <t>RIO GRANDE DO NORTE</t>
  </si>
  <si>
    <t>SHOPPING NOVA AMÉRICA</t>
  </si>
  <si>
    <t>SHOPPING SULACAP</t>
  </si>
  <si>
    <t>SHOPPING INDEPENDÊNCIA</t>
  </si>
  <si>
    <t>UBERLÂNDIA</t>
  </si>
  <si>
    <t>SHOPPING VIA BARREIRO</t>
  </si>
  <si>
    <t>Parque Shopping da Bahia</t>
  </si>
  <si>
    <t>CENTRO - JUIZ DE FORA</t>
  </si>
  <si>
    <t>CENTRO - BH</t>
  </si>
  <si>
    <t>UBERABA SHOPPING</t>
  </si>
  <si>
    <t>NOSSA SENHORA DO SOCORRO</t>
  </si>
  <si>
    <t>BOULEVARD SHOPPING VILA VELHA</t>
  </si>
  <si>
    <t>ESPÍRITO SANTO</t>
  </si>
  <si>
    <t>SHOPPING MINAS</t>
  </si>
  <si>
    <t>SHOPPING PORTO VELHO</t>
  </si>
  <si>
    <t>RONDONIA</t>
  </si>
  <si>
    <t>ITAÚ POWER SHOPPING</t>
  </si>
  <si>
    <t>VITÓRIA</t>
  </si>
  <si>
    <t>SHOPPING VITÓRIA</t>
  </si>
  <si>
    <t>SHOPPING VALE DO AÇO</t>
  </si>
  <si>
    <t>SHOPPING JARDINS ARACAJU</t>
  </si>
  <si>
    <t>CENTRO - CAMPINA GRANDE</t>
  </si>
  <si>
    <t>HORTOLÂNDIA</t>
  </si>
  <si>
    <t>SHOPPING HORTOLÂNDIA</t>
  </si>
  <si>
    <t>SHOPPING S.B. PLAZA</t>
  </si>
  <si>
    <t>CENTRO - JOÃO PESSOA</t>
  </si>
  <si>
    <t>MANAÍRA SHOPPING</t>
  </si>
  <si>
    <t>GOLDEN SQUARE SHOPPING</t>
  </si>
  <si>
    <t>ANASHOPPING</t>
  </si>
  <si>
    <t>GOIÁS</t>
  </si>
  <si>
    <t>SHOPPING MANGABEIRA</t>
  </si>
  <si>
    <t>CARIOCA SHOPPING</t>
  </si>
  <si>
    <t>MARACANAÚ</t>
  </si>
  <si>
    <t>AMAZONAS</t>
  </si>
  <si>
    <t>CENTRO - MANAUS</t>
  </si>
  <si>
    <t xml:space="preserve">Shopping RioMar Kennedy </t>
  </si>
  <si>
    <t>APARECIDA DE GOIÂNIA</t>
  </si>
  <si>
    <t>SHOPPING BURITI</t>
  </si>
  <si>
    <t>Sumaúma Park Shopping</t>
  </si>
  <si>
    <t>FLAMBOYANT SHOPPING</t>
  </si>
  <si>
    <t>PARTAGE SHOPPING BETIM</t>
  </si>
  <si>
    <t xml:space="preserve">SHOPPING METRÓPOLE ANANINDEUA </t>
  </si>
  <si>
    <t>ILHA DO GOVERNADOR PLAZA SHOPPING</t>
  </si>
  <si>
    <t>Shopping Grande Circular</t>
  </si>
  <si>
    <t>SANTAREM</t>
  </si>
  <si>
    <t>TAPAJÓS SHOPPING</t>
  </si>
  <si>
    <t>SHOPPING MARABÁ</t>
  </si>
  <si>
    <t>PÁTIO BRASIL SHOPPING</t>
  </si>
  <si>
    <t>VALPARAÍSO DE GOIÁS</t>
  </si>
  <si>
    <t>SHOPPING CAMPIM DOURADO</t>
  </si>
  <si>
    <t>TOCANTINS</t>
  </si>
  <si>
    <t>SHOPPING BURUTI RIO VERDE</t>
  </si>
  <si>
    <t>SHOPPING RIO MAR</t>
  </si>
  <si>
    <t xml:space="preserve">CENTRO - FEIRA DE SANTANA </t>
  </si>
  <si>
    <t>MACAPÁ</t>
  </si>
  <si>
    <t>MACAPÁ SHOOPING CENTER</t>
  </si>
  <si>
    <t>AMAPÁ</t>
  </si>
  <si>
    <t>SHOPPING MIDWAY MALL</t>
  </si>
  <si>
    <t>CENTRO - DUQUE DE CAXIAS</t>
  </si>
  <si>
    <t>CENTRO - NOVA IGUAÇU</t>
  </si>
  <si>
    <t>SHOOPING VIA VERDE</t>
  </si>
  <si>
    <t>ACRE</t>
  </si>
  <si>
    <t>CAMPOS DOS GOYTACAZES</t>
  </si>
  <si>
    <t>SHOPPING MÉIER</t>
  </si>
  <si>
    <t>BOTAFOGO - RJ</t>
  </si>
  <si>
    <t>RORAIMA</t>
  </si>
  <si>
    <t xml:space="preserve">Araguaia Shopping </t>
  </si>
  <si>
    <t>Goiânia/GO</t>
  </si>
  <si>
    <t xml:space="preserve">Shopping Peixoto </t>
  </si>
  <si>
    <t>Itabaiana SE</t>
  </si>
  <si>
    <t xml:space="preserve">Patos Shopping </t>
  </si>
  <si>
    <t xml:space="preserve"> Patos / PB </t>
  </si>
  <si>
    <t>Lages Garden Shopping</t>
  </si>
  <si>
    <t>Lages/SC</t>
  </si>
  <si>
    <t xml:space="preserve">Shopping Sinop </t>
  </si>
  <si>
    <t>Sinop/MT</t>
  </si>
  <si>
    <t>Rio de Janeiro/RJ</t>
  </si>
  <si>
    <t>Parauapebas/PA</t>
  </si>
  <si>
    <t xml:space="preserve">Park Shopping Canoas </t>
  </si>
  <si>
    <t>Canoas-RS</t>
  </si>
  <si>
    <t xml:space="preserve">Parnaíba / PI </t>
  </si>
  <si>
    <t xml:space="preserve">Shopping Pátio Mix </t>
  </si>
  <si>
    <t>Teixeira de Freitas/BA</t>
  </si>
  <si>
    <t>ANGRA DOS REIS</t>
  </si>
  <si>
    <t>Angra do Reis /RJ</t>
  </si>
  <si>
    <t xml:space="preserve">Itapê Shopping </t>
  </si>
  <si>
    <t>Itapetininga/SP</t>
  </si>
  <si>
    <t xml:space="preserve">Gurupi/TO </t>
  </si>
  <si>
    <t>Loja rua de Botucatu</t>
  </si>
  <si>
    <t>Botucatu/SP</t>
  </si>
  <si>
    <t>São Paulo/SP</t>
  </si>
  <si>
    <t>Maringá/PR</t>
  </si>
  <si>
    <t>Altamira/PA</t>
  </si>
  <si>
    <t>Loja de rua Barbacena</t>
  </si>
  <si>
    <t>Barbacena/MG</t>
  </si>
  <si>
    <t>Loja de rua Anápolis</t>
  </si>
  <si>
    <t>Anápolis/GO</t>
  </si>
  <si>
    <t>Divinópolis/MG</t>
  </si>
  <si>
    <t>Loja de rua Muriaé</t>
  </si>
  <si>
    <t>Muriaé/MG</t>
  </si>
  <si>
    <t>Porto Alegre/RS</t>
  </si>
  <si>
    <t>CASTANHA</t>
  </si>
  <si>
    <t>Castanhal/PA</t>
  </si>
  <si>
    <t>Três Lagoas/MS</t>
  </si>
  <si>
    <t>Shopping Mais</t>
  </si>
  <si>
    <t>Goiânia /GO</t>
  </si>
  <si>
    <t>Barreiras/BA</t>
  </si>
  <si>
    <t>Londrina/PR</t>
  </si>
  <si>
    <t>Shopping Pátio Mix Resende</t>
  </si>
  <si>
    <t>Resende/RJ</t>
  </si>
  <si>
    <t>Loja de rua São Paulo</t>
  </si>
  <si>
    <t>FERNANDÓPOLIS</t>
  </si>
  <si>
    <t>Shopping Center Fernandópolis</t>
  </si>
  <si>
    <t>Fernandópolis/SP</t>
  </si>
  <si>
    <t>Sobral/CE</t>
  </si>
  <si>
    <t>Serra Talhada/PE</t>
  </si>
  <si>
    <t>ITAJAÍ</t>
  </si>
  <si>
    <t>Itajaí Shopping Center</t>
  </si>
  <si>
    <t>Itajaí/SC</t>
  </si>
  <si>
    <t>Praça Nova Santa Maria</t>
  </si>
  <si>
    <t>Santa Maria/RS</t>
  </si>
  <si>
    <t>BARRETOS</t>
  </si>
  <si>
    <t>North Shopping Barretos</t>
  </si>
  <si>
    <t>Barretos/SP</t>
  </si>
  <si>
    <t>CASCAVEL</t>
  </si>
  <si>
    <t>Catuaí Shopping Cascavel</t>
  </si>
  <si>
    <t>Cascavel/PR</t>
  </si>
  <si>
    <t>RIO DAS OSTRAS</t>
  </si>
  <si>
    <t>Plaza Rio das Ostras</t>
  </si>
  <si>
    <t>Rio das ostras/RJ</t>
  </si>
  <si>
    <t xml:space="preserve">JARAGUÁ DO SUL </t>
  </si>
  <si>
    <t>Jaraguá do Sul Park Shopping</t>
  </si>
  <si>
    <t>Jaraguá do Sul/SC</t>
  </si>
  <si>
    <t>CHAPECÓ</t>
  </si>
  <si>
    <t>Shopping Pátio Chapecó</t>
  </si>
  <si>
    <t>Chapecó/SC</t>
  </si>
  <si>
    <t>VALINHOS</t>
  </si>
  <si>
    <t>Shopping Valinhos</t>
  </si>
  <si>
    <t>Valinhos/SP</t>
  </si>
  <si>
    <t>AMERICANA</t>
  </si>
  <si>
    <t>Americana Mall</t>
  </si>
  <si>
    <t>Americana/SP</t>
  </si>
  <si>
    <t>Shopping Continental</t>
  </si>
  <si>
    <t>PONTA GROSSA</t>
  </si>
  <si>
    <t>Shop Plaza Campos Gerais</t>
  </si>
  <si>
    <t>Ponta Grossa/PR</t>
  </si>
  <si>
    <t>RONDONÓPOLIS</t>
  </si>
  <si>
    <t>Rondon Plaza Shopping</t>
  </si>
  <si>
    <t>Rondonópolis/MT</t>
  </si>
  <si>
    <t>CATANDUVA</t>
  </si>
  <si>
    <t>Catanduva Garden Shopping</t>
  </si>
  <si>
    <t>Catanduva/SP</t>
  </si>
  <si>
    <t>Shopping Pelotas</t>
  </si>
  <si>
    <t>Pelotas/RS</t>
  </si>
  <si>
    <t>PATOS DE MINAS</t>
  </si>
  <si>
    <t>Pátio Central Shopping</t>
  </si>
  <si>
    <t>Patos de Minas/MG</t>
  </si>
  <si>
    <t>Lojas 100% Maduras</t>
  </si>
  <si>
    <t>A C&amp;A vai manter o ritmo de abertura de loja, em que pretende abrir de 10 a 15 lojas em 2026.</t>
  </si>
  <si>
    <t>As lojas que serão abertas vão manter o mesmo tamanho médio das lojas que foram abertas no ano de 2025</t>
  </si>
  <si>
    <t>Ela irá emitir 1.600 cartões por ano. Este número é condizente com a quantidade de cartões que a Lojas Renner emitia até 2019, mantendo uma premissa otimista.</t>
  </si>
  <si>
    <t xml:space="preserve">A receita por cartão ficará em torno de R$ 40 </t>
  </si>
  <si>
    <t>"Outros" refere-se à receita de comissões sobre recarga de celular e venda de planos em parceria com operadoras. Como não é o foco da empresa, vamos considerar que ela irá permanecer como 0,37% da Receita de Varejo. Qualquer erro aqui causará um impacto ínfimo no valor final da ação.</t>
  </si>
  <si>
    <t>Loja com 1 ano vende 25% de uma loja madura</t>
  </si>
  <si>
    <t>Loja com 2 anos 0vende 67% de uma loja madura</t>
  </si>
  <si>
    <t>Loja com 3 anos vende 83% de uma loja madura</t>
  </si>
  <si>
    <t>Loja com 4 anos atinge o nível de vendas de uma loja madura</t>
  </si>
  <si>
    <t>A receita financeira da C&amp;A agora provém somente da financeira da própria empresa a C&amp;A Pay</t>
  </si>
  <si>
    <t>A PDD por cartão irá se manter noo valor do último ano, que foi 2025, sendo de R$15,00 por cartão</t>
  </si>
  <si>
    <t>TJLP</t>
  </si>
  <si>
    <t>Caixa e Equivalentes de Caixa</t>
  </si>
  <si>
    <t>Excesso de caixa</t>
  </si>
  <si>
    <t>Clientes</t>
  </si>
  <si>
    <t>Tributos Correntes a Recuperar</t>
  </si>
  <si>
    <t>Derivativos</t>
  </si>
  <si>
    <t>Intangíveis</t>
  </si>
  <si>
    <t xml:space="preserve">Nacionais </t>
  </si>
  <si>
    <t>Obrigações com risco sacado</t>
  </si>
  <si>
    <t>Débitos com Outras Partes Relacionadas</t>
  </si>
  <si>
    <t>Dividendos e juros sobre capital</t>
  </si>
  <si>
    <t>Imposto de Renda e CSLL Diferidos</t>
  </si>
  <si>
    <t>Ações em tesouraria</t>
  </si>
  <si>
    <t>Lucros/Prejuiízos Acumulados</t>
  </si>
  <si>
    <t>Participação dos Acionistas Não Controladores</t>
  </si>
  <si>
    <t>&gt;2030E</t>
  </si>
  <si>
    <t>DI</t>
  </si>
  <si>
    <t>Beta</t>
  </si>
  <si>
    <t>Ke</t>
  </si>
  <si>
    <t>Kd</t>
  </si>
  <si>
    <t>C&amp;A Modas S.A</t>
  </si>
  <si>
    <t>As depesas gerais e com vendas, vão se manter constantes, no mesmo valor do ano de 2025</t>
  </si>
  <si>
    <t>Variação do DI</t>
  </si>
  <si>
    <t>TIR</t>
  </si>
  <si>
    <t>Haverá um ganho de margem bruta por conta da C&amp;A Pay e Varejo e a margem bruta de outros, vai se manter negativa(premissa muito conservadora já que a C&amp;A irá desconsiderar esse "braço" da empresa</t>
  </si>
  <si>
    <t>Lojas Abertas por ano</t>
  </si>
  <si>
    <t>Peso(WACC) - Capital dos acionistas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</si>
</sst>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8" formatCode="&quot;R$&quot;\ #,##0.00;[Red]\-&quot;R$&quot;\ #,##0.00"/>
    <numFmt numFmtId="43" formatCode="_-* #,##0.00_-;\-* #,##0.00_-;_-* &quot;-&quot;??_-;_-@_-"/>
    <numFmt numFmtId="164" formatCode="0.0%"/>
    <numFmt numFmtId="165" formatCode="_-* #,##0_-;\-* #,##0_-;_-* &quot;-&quot;??_-;_-@_-"/>
    <numFmt numFmtId="166" formatCode="#,##0;\(#,##0\)"/>
    <numFmt numFmtId="167" formatCode="#,##0.0;\(#,##0.0\)"/>
    <numFmt numFmtId="168" formatCode="0.0"/>
    <numFmt numFmtId="169" formatCode="0.0\x"/>
    <numFmt numFmtId="170" formatCode="General&quot;E&quot;"/>
    <numFmt numFmtId="171" formatCode="#,##0&quot; dias&quot;"/>
    <numFmt numFmtId="172" formatCode="#,##0;\(#,##0\);&quot;-&quot;"/>
    <numFmt numFmtId="173" formatCode="0%;\(0%\);&quot;-&quot;"/>
    <numFmt numFmtId="174" formatCode="0;\(0\);&quot;-&quot;"/>
    <numFmt numFmtId="175" formatCode="0%;\-0%;&quot;-&quot;"/>
    <numFmt numFmtId="176" formatCode="0%;\(0%\)"/>
    <numFmt numFmtId="177" formatCode="0.0%;\(0.0%\)"/>
    <numFmt numFmtId="178" formatCode="&quot;&quot;"/>
    <numFmt numFmtId="179" formatCode="#,##0.00;[Red]\-&quot;R$&quot;\ #,##0.00"/>
    <numFmt numFmtId="180" formatCode="0.0%;\(0.0%\);&quot;-&quot;"/>
    <numFmt numFmtId="181" formatCode="0.000"/>
    <numFmt numFmtId="182" formatCode="0.00000%"/>
    <numFmt numFmtId="183" formatCode="#,##0.00;\(#,##0.00\)"/>
    <numFmt numFmtId="184" formatCode="#,##0.00;\(#,##0.00\);&quot;-&quot;"/>
    <numFmt numFmtId="185" formatCode="0.00%;\-0.00%;&quot;-&quot;"/>
  </numFmts>
  <fonts count="4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0"/>
      <name val="Avenir Next LT Pro"/>
      <family val="2"/>
    </font>
    <font>
      <sz val="11"/>
      <color theme="1"/>
      <name val="Avenir Next LT Pro"/>
      <family val="2"/>
    </font>
    <font>
      <sz val="11"/>
      <color rgb="FFD3D3D3"/>
      <name val="Avenir Next LT Pro"/>
      <family val="2"/>
    </font>
    <font>
      <b/>
      <sz val="11"/>
      <color rgb="FFD3D3D3"/>
      <name val="Avenir Next LT Pro"/>
      <family val="2"/>
    </font>
    <font>
      <sz val="6"/>
      <color theme="0"/>
      <name val="Avenir Next LT Pro"/>
      <family val="2"/>
    </font>
    <font>
      <sz val="11"/>
      <color rgb="FF848484"/>
      <name val="Avenir Next LT Pro"/>
      <family val="2"/>
    </font>
    <font>
      <sz val="11"/>
      <color theme="1" tint="0.499984740745262"/>
      <name val="Avenir Next LT Pro"/>
      <family val="2"/>
    </font>
    <font>
      <sz val="11"/>
      <color theme="1" tint="0.499984740745262"/>
      <name val="Calibri"/>
      <family val="2"/>
    </font>
    <font>
      <sz val="9.9"/>
      <color theme="1" tint="0.499984740745262"/>
      <name val="Avenir Next LT Pro"/>
      <family val="2"/>
    </font>
    <font>
      <sz val="11"/>
      <color rgb="FF808080"/>
      <name val="Avenir Next LT Pro"/>
      <family val="2"/>
    </font>
    <font>
      <b/>
      <sz val="11"/>
      <color rgb="FF808080"/>
      <name val="Avenir Next LT Pro"/>
      <family val="2"/>
    </font>
    <font>
      <b/>
      <sz val="11"/>
      <color rgb="FFD3DCDF"/>
      <name val="Avenir Next LT Pro"/>
      <family val="2"/>
    </font>
    <font>
      <b/>
      <sz val="11"/>
      <color rgb="FFC6CAD2"/>
      <name val="Avenir Next LT Pro"/>
      <family val="2"/>
    </font>
    <font>
      <sz val="11"/>
      <color rgb="FFC6CAD2"/>
      <name val="Avenir Next LT Pro"/>
      <family val="2"/>
    </font>
    <font>
      <sz val="8"/>
      <color rgb="FFC6CAD2"/>
      <name val="Avenir Next LT Pro"/>
      <family val="2"/>
    </font>
    <font>
      <sz val="11"/>
      <color rgb="FF545454"/>
      <name val="Avenir Next LT Pro"/>
      <family val="2"/>
    </font>
    <font>
      <b/>
      <sz val="11"/>
      <color rgb="FF00B050"/>
      <name val="Avenir Next LT Pro"/>
      <family val="2"/>
    </font>
    <font>
      <sz val="11"/>
      <color rgb="FF1C1D1D"/>
      <name val="Avenir Next LT Pro"/>
      <family val="2"/>
    </font>
    <font>
      <sz val="10"/>
      <color rgb="FFD3D3D3"/>
      <name val="Avenir Next LT Pro"/>
      <family val="2"/>
    </font>
    <font>
      <b/>
      <sz val="10"/>
      <color rgb="FFD3D3D3"/>
      <name val="Avenir Next LT Pro"/>
      <family val="2"/>
    </font>
    <font>
      <sz val="11"/>
      <color rgb="FF43AF43"/>
      <name val="Avenir Next LT Pro"/>
      <family val="2"/>
    </font>
    <font>
      <sz val="11"/>
      <color rgb="FF5E5E5E"/>
      <name val="Avenir Next LT Pro"/>
      <family val="2"/>
    </font>
    <font>
      <sz val="9"/>
      <color indexed="81"/>
      <name val="Segoe UI"/>
      <family val="2"/>
    </font>
    <font>
      <b/>
      <sz val="11"/>
      <color theme="0"/>
      <name val="Avenir Next LT Pro"/>
      <family val="2"/>
    </font>
    <font>
      <b/>
      <sz val="9"/>
      <color indexed="81"/>
      <name val="Segoe UI"/>
      <family val="2"/>
    </font>
    <font>
      <sz val="9"/>
      <color rgb="FFD3D3D3"/>
      <name val="Avenir Next LT Pro"/>
      <family val="2"/>
    </font>
    <font>
      <sz val="8"/>
      <color rgb="FFD3D3D3"/>
      <name val="Avenir Next LT Pro"/>
      <family val="2"/>
    </font>
    <font>
      <sz val="11"/>
      <color theme="1" tint="0.34998626667073579"/>
      <name val="Avenir Next LT Pro"/>
      <family val="2"/>
    </font>
    <font>
      <b/>
      <sz val="12"/>
      <color theme="0"/>
      <name val="Avenir Next LT Pro"/>
      <family val="2"/>
    </font>
    <font>
      <sz val="10"/>
      <color rgb="FF1C1D1D"/>
      <name val="Avenir Next LT Pro"/>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C1D1D"/>
        <bgColor indexed="64"/>
      </patternFill>
    </fill>
    <fill>
      <patternFill patternType="solid">
        <fgColor theme="1" tint="0.14999847407452621"/>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5E5E5E"/>
      </bottom>
      <diagonal/>
    </border>
    <border>
      <left/>
      <right/>
      <top style="medium">
        <color rgb="FF5E5E5E"/>
      </top>
      <bottom/>
      <diagonal/>
    </border>
    <border>
      <left/>
      <right style="thick">
        <color auto="1"/>
      </right>
      <top/>
      <bottom style="thick">
        <color auto="1"/>
      </bottom>
      <diagonal/>
    </border>
    <border>
      <left style="thick">
        <color auto="1"/>
      </left>
      <right style="thick">
        <color auto="1"/>
      </right>
      <top/>
      <bottom style="thick">
        <color auto="1"/>
      </bottom>
      <diagonal/>
    </border>
    <border>
      <left style="thick">
        <color auto="1"/>
      </left>
      <right/>
      <top/>
      <bottom style="thick">
        <color auto="1"/>
      </bottom>
      <diagonal/>
    </border>
    <border>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
      <left style="thick">
        <color auto="1"/>
      </left>
      <right/>
      <top style="thick">
        <color auto="1"/>
      </top>
      <bottom style="thick">
        <color auto="1"/>
      </bottom>
      <diagonal/>
    </border>
    <border>
      <left/>
      <right style="thick">
        <color auto="1"/>
      </right>
      <top style="thick">
        <color auto="1"/>
      </top>
      <bottom/>
      <diagonal/>
    </border>
    <border>
      <left style="thick">
        <color auto="1"/>
      </left>
      <right style="thick">
        <color auto="1"/>
      </right>
      <top style="thick">
        <color auto="1"/>
      </top>
      <bottom/>
      <diagonal/>
    </border>
    <border>
      <left style="thick">
        <color auto="1"/>
      </left>
      <right/>
      <top style="thick">
        <color auto="1"/>
      </top>
      <bottom/>
      <diagonal/>
    </border>
    <border>
      <left/>
      <right style="thin">
        <color auto="1"/>
      </right>
      <top style="thin">
        <color auto="1"/>
      </top>
      <bottom style="thin">
        <color auto="1"/>
      </bottom>
      <diagonal/>
    </border>
  </borders>
  <cellStyleXfs count="44">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172">
    <xf numFmtId="0" fontId="0" fillId="0" borderId="0" xfId="0"/>
    <xf numFmtId="0" fontId="18" fillId="33" borderId="0" xfId="0" applyFont="1" applyFill="1" applyAlignment="1">
      <alignment vertical="center"/>
    </xf>
    <xf numFmtId="0" fontId="18" fillId="33" borderId="0" xfId="0" applyFont="1" applyFill="1" applyAlignment="1">
      <alignment horizontal="center" vertical="center"/>
    </xf>
    <xf numFmtId="0" fontId="19" fillId="0" borderId="0" xfId="0" applyFont="1" applyAlignment="1">
      <alignment vertical="center"/>
    </xf>
    <xf numFmtId="0" fontId="20" fillId="33" borderId="0" xfId="0" applyFont="1" applyFill="1" applyAlignment="1">
      <alignment vertical="center"/>
    </xf>
    <xf numFmtId="0" fontId="22" fillId="33" borderId="0" xfId="0" applyFont="1" applyFill="1" applyAlignment="1">
      <alignment horizontal="center" vertical="center" wrapText="1"/>
    </xf>
    <xf numFmtId="165" fontId="20" fillId="33" borderId="0" xfId="0" applyNumberFormat="1" applyFont="1" applyFill="1" applyAlignment="1">
      <alignment horizontal="center" vertical="center"/>
    </xf>
    <xf numFmtId="0" fontId="20" fillId="33" borderId="0" xfId="0" applyFont="1" applyFill="1" applyAlignment="1">
      <alignment horizontal="center" vertical="center"/>
    </xf>
    <xf numFmtId="0" fontId="19" fillId="0" borderId="0" xfId="0" applyFont="1" applyAlignment="1">
      <alignment horizontal="center" vertical="center"/>
    </xf>
    <xf numFmtId="9" fontId="18" fillId="33" borderId="0" xfId="0" applyNumberFormat="1" applyFont="1" applyFill="1" applyAlignment="1">
      <alignment horizontal="center" vertical="center"/>
    </xf>
    <xf numFmtId="0" fontId="21" fillId="33" borderId="0" xfId="0" applyFont="1" applyFill="1" applyAlignment="1">
      <alignment vertical="center"/>
    </xf>
    <xf numFmtId="3" fontId="20" fillId="33" borderId="0" xfId="0" applyNumberFormat="1" applyFont="1" applyFill="1" applyAlignment="1">
      <alignment vertical="center"/>
    </xf>
    <xf numFmtId="0" fontId="20" fillId="33" borderId="0" xfId="0" applyFont="1" applyFill="1" applyAlignment="1">
      <alignment horizontal="left" vertical="center" indent="1"/>
    </xf>
    <xf numFmtId="0" fontId="20" fillId="33" borderId="0" xfId="0" applyFont="1" applyFill="1" applyAlignment="1">
      <alignment horizontal="left" vertical="center" indent="2"/>
    </xf>
    <xf numFmtId="0" fontId="23" fillId="33" borderId="0" xfId="0" applyFont="1" applyFill="1" applyAlignment="1">
      <alignment horizontal="left" vertical="center" indent="2"/>
    </xf>
    <xf numFmtId="3" fontId="23" fillId="33" borderId="0" xfId="0" applyNumberFormat="1" applyFont="1" applyFill="1" applyAlignment="1">
      <alignment vertical="center"/>
    </xf>
    <xf numFmtId="0" fontId="21" fillId="33" borderId="10" xfId="0" applyFont="1" applyFill="1" applyBorder="1" applyAlignment="1">
      <alignment horizontal="right" vertical="center"/>
    </xf>
    <xf numFmtId="0" fontId="20" fillId="33" borderId="0" xfId="0" applyFont="1" applyFill="1" applyAlignment="1">
      <alignment horizontal="left" vertical="center" indent="3"/>
    </xf>
    <xf numFmtId="3" fontId="21" fillId="33" borderId="0" xfId="0" applyNumberFormat="1" applyFont="1" applyFill="1" applyAlignment="1">
      <alignment vertical="center"/>
    </xf>
    <xf numFmtId="0" fontId="21" fillId="33" borderId="0" xfId="0" applyFont="1" applyFill="1" applyAlignment="1">
      <alignment horizontal="left" vertical="center" indent="1"/>
    </xf>
    <xf numFmtId="0" fontId="23" fillId="33" borderId="0" xfId="0" applyFont="1" applyFill="1" applyAlignment="1">
      <alignment horizontal="left" vertical="center" indent="1"/>
    </xf>
    <xf numFmtId="0" fontId="20" fillId="33" borderId="0" xfId="0" applyFont="1" applyFill="1" applyAlignment="1">
      <alignment horizontal="left" vertical="center"/>
    </xf>
    <xf numFmtId="0" fontId="23" fillId="33" borderId="0" xfId="0" applyFont="1" applyFill="1" applyAlignment="1">
      <alignment horizontal="left" vertical="center"/>
    </xf>
    <xf numFmtId="165" fontId="20" fillId="33" borderId="0" xfId="0" applyNumberFormat="1" applyFont="1" applyFill="1" applyAlignment="1">
      <alignment horizontal="left" vertical="center" indent="1"/>
    </xf>
    <xf numFmtId="166" fontId="20" fillId="33" borderId="0" xfId="0" applyNumberFormat="1" applyFont="1" applyFill="1" applyAlignment="1">
      <alignment vertical="center"/>
    </xf>
    <xf numFmtId="167" fontId="20" fillId="33" borderId="0" xfId="0" applyNumberFormat="1" applyFont="1" applyFill="1" applyAlignment="1">
      <alignment vertical="center"/>
    </xf>
    <xf numFmtId="0" fontId="21" fillId="33" borderId="0" xfId="0" applyFont="1" applyFill="1" applyAlignment="1">
      <alignment horizontal="left" vertical="center"/>
    </xf>
    <xf numFmtId="166" fontId="21" fillId="33" borderId="0" xfId="0" applyNumberFormat="1" applyFont="1" applyFill="1" applyAlignment="1">
      <alignment vertical="center"/>
    </xf>
    <xf numFmtId="168" fontId="20" fillId="33" borderId="0" xfId="0" applyNumberFormat="1" applyFont="1" applyFill="1" applyAlignment="1">
      <alignment horizontal="right" vertical="center"/>
    </xf>
    <xf numFmtId="9" fontId="20" fillId="33" borderId="0" xfId="42" applyFont="1" applyFill="1" applyAlignment="1">
      <alignment horizontal="right" vertical="center"/>
    </xf>
    <xf numFmtId="1" fontId="20" fillId="33" borderId="0" xfId="0" applyNumberFormat="1" applyFont="1" applyFill="1" applyAlignment="1">
      <alignment horizontal="right" vertical="center"/>
    </xf>
    <xf numFmtId="0" fontId="24" fillId="33" borderId="0" xfId="0" applyFont="1" applyFill="1" applyAlignment="1">
      <alignment horizontal="left" vertical="center" indent="1"/>
    </xf>
    <xf numFmtId="166" fontId="24" fillId="33" borderId="0" xfId="0" applyNumberFormat="1" applyFont="1" applyFill="1" applyAlignment="1">
      <alignment vertical="center"/>
    </xf>
    <xf numFmtId="0" fontId="24" fillId="33" borderId="0" xfId="0" applyFont="1" applyFill="1" applyAlignment="1">
      <alignment horizontal="left" vertical="center" indent="2"/>
    </xf>
    <xf numFmtId="0" fontId="24" fillId="33" borderId="0" xfId="0" applyFont="1" applyFill="1" applyAlignment="1">
      <alignment horizontal="left" vertical="center"/>
    </xf>
    <xf numFmtId="3" fontId="20" fillId="33" borderId="0" xfId="0" applyNumberFormat="1" applyFont="1" applyFill="1" applyAlignment="1">
      <alignment horizontal="center" vertical="center"/>
    </xf>
    <xf numFmtId="3" fontId="20" fillId="33" borderId="10" xfId="0" applyNumberFormat="1" applyFont="1" applyFill="1" applyBorder="1" applyAlignment="1">
      <alignment horizontal="center" vertical="center"/>
    </xf>
    <xf numFmtId="3" fontId="24" fillId="33" borderId="0" xfId="0" applyNumberFormat="1" applyFont="1" applyFill="1" applyAlignment="1">
      <alignment vertical="center"/>
    </xf>
    <xf numFmtId="9" fontId="20" fillId="33" borderId="0" xfId="0" applyNumberFormat="1" applyFont="1" applyFill="1" applyAlignment="1">
      <alignment vertical="center"/>
    </xf>
    <xf numFmtId="9" fontId="20" fillId="33" borderId="0" xfId="0" applyNumberFormat="1" applyFont="1" applyFill="1" applyAlignment="1">
      <alignment horizontal="center" vertical="center"/>
    </xf>
    <xf numFmtId="169" fontId="20" fillId="33" borderId="0" xfId="0" applyNumberFormat="1" applyFont="1" applyFill="1" applyAlignment="1">
      <alignment horizontal="right" vertical="center"/>
    </xf>
    <xf numFmtId="166" fontId="20" fillId="33" borderId="0" xfId="0" applyNumberFormat="1" applyFont="1" applyFill="1" applyAlignment="1">
      <alignment horizontal="right" vertical="center"/>
    </xf>
    <xf numFmtId="1" fontId="18" fillId="33" borderId="0" xfId="0" applyNumberFormat="1" applyFont="1" applyFill="1" applyAlignment="1">
      <alignment vertical="center"/>
    </xf>
    <xf numFmtId="9" fontId="24" fillId="33" borderId="0" xfId="0" applyNumberFormat="1" applyFont="1" applyFill="1" applyAlignment="1">
      <alignment vertical="center"/>
    </xf>
    <xf numFmtId="9" fontId="18" fillId="33" borderId="0" xfId="0" applyNumberFormat="1" applyFont="1" applyFill="1" applyAlignment="1">
      <alignment vertical="center"/>
    </xf>
    <xf numFmtId="170" fontId="21" fillId="33" borderId="10" xfId="0" applyNumberFormat="1" applyFont="1" applyFill="1" applyBorder="1" applyAlignment="1">
      <alignment horizontal="right" vertical="center"/>
    </xf>
    <xf numFmtId="164" fontId="24" fillId="33" borderId="0" xfId="0" applyNumberFormat="1" applyFont="1" applyFill="1" applyAlignment="1">
      <alignment vertical="center"/>
    </xf>
    <xf numFmtId="166" fontId="21" fillId="33" borderId="11" xfId="0" applyNumberFormat="1" applyFont="1" applyFill="1" applyBorder="1" applyAlignment="1">
      <alignment vertical="center"/>
    </xf>
    <xf numFmtId="0" fontId="21" fillId="33" borderId="11" xfId="0" applyFont="1" applyFill="1" applyBorder="1" applyAlignment="1">
      <alignment vertical="center"/>
    </xf>
    <xf numFmtId="0" fontId="20" fillId="33" borderId="0" xfId="0" applyFont="1" applyFill="1" applyAlignment="1">
      <alignment horizontal="left" vertical="center" indent="4"/>
    </xf>
    <xf numFmtId="0" fontId="24" fillId="33" borderId="0" xfId="0" applyFont="1" applyFill="1" applyAlignment="1">
      <alignment horizontal="left" vertical="center" indent="3"/>
    </xf>
    <xf numFmtId="0" fontId="21" fillId="33" borderId="10" xfId="0" applyFont="1" applyFill="1" applyBorder="1" applyAlignment="1">
      <alignment horizontal="left" vertical="center"/>
    </xf>
    <xf numFmtId="0" fontId="27" fillId="33" borderId="0" xfId="0" applyFont="1" applyFill="1" applyAlignment="1">
      <alignment horizontal="left" vertical="center"/>
    </xf>
    <xf numFmtId="168" fontId="20" fillId="33" borderId="0" xfId="0" applyNumberFormat="1" applyFont="1" applyFill="1" applyAlignment="1">
      <alignment vertical="center"/>
    </xf>
    <xf numFmtId="3" fontId="29" fillId="33" borderId="0" xfId="0" applyNumberFormat="1" applyFont="1" applyFill="1" applyAlignment="1">
      <alignment vertical="center"/>
    </xf>
    <xf numFmtId="170" fontId="30" fillId="33" borderId="10" xfId="0" applyNumberFormat="1" applyFont="1" applyFill="1" applyBorder="1" applyAlignment="1">
      <alignment horizontal="right" vertical="center"/>
    </xf>
    <xf numFmtId="3" fontId="30" fillId="33" borderId="0" xfId="0" applyNumberFormat="1" applyFont="1" applyFill="1" applyAlignment="1">
      <alignment vertical="center"/>
    </xf>
    <xf numFmtId="1" fontId="31" fillId="33" borderId="0" xfId="0" applyNumberFormat="1" applyFont="1" applyFill="1" applyAlignment="1">
      <alignment vertical="center"/>
    </xf>
    <xf numFmtId="0" fontId="31" fillId="33" borderId="0" xfId="0" applyFont="1" applyFill="1" applyAlignment="1">
      <alignment horizontal="left" vertical="center"/>
    </xf>
    <xf numFmtId="3" fontId="31" fillId="33" borderId="0" xfId="0" applyNumberFormat="1" applyFont="1" applyFill="1" applyAlignment="1">
      <alignment vertical="center"/>
    </xf>
    <xf numFmtId="168" fontId="31" fillId="33" borderId="0" xfId="0" applyNumberFormat="1" applyFont="1" applyFill="1" applyAlignment="1">
      <alignment vertical="center"/>
    </xf>
    <xf numFmtId="3" fontId="32" fillId="33" borderId="0" xfId="0" applyNumberFormat="1" applyFont="1" applyFill="1" applyAlignment="1">
      <alignment horizontal="right" vertical="center" wrapText="1"/>
    </xf>
    <xf numFmtId="164" fontId="21" fillId="33" borderId="0" xfId="0" applyNumberFormat="1" applyFont="1" applyFill="1" applyAlignment="1">
      <alignment vertical="center"/>
    </xf>
    <xf numFmtId="0" fontId="27" fillId="33" borderId="0" xfId="0" applyFont="1" applyFill="1" applyAlignment="1">
      <alignment horizontal="left" vertical="center" indent="1"/>
    </xf>
    <xf numFmtId="0" fontId="27" fillId="33" borderId="0" xfId="0" applyFont="1" applyFill="1" applyAlignment="1">
      <alignment horizontal="left" vertical="center" indent="2"/>
    </xf>
    <xf numFmtId="0" fontId="27" fillId="33" borderId="0" xfId="0" applyFont="1" applyFill="1" applyAlignment="1">
      <alignment horizontal="left" vertical="center" indent="3"/>
    </xf>
    <xf numFmtId="0" fontId="28" fillId="33" borderId="10" xfId="0" applyFont="1" applyFill="1" applyBorder="1" applyAlignment="1">
      <alignment horizontal="right" vertical="center"/>
    </xf>
    <xf numFmtId="171" fontId="20" fillId="33" borderId="0" xfId="0" applyNumberFormat="1" applyFont="1" applyFill="1" applyAlignment="1">
      <alignment vertical="center"/>
    </xf>
    <xf numFmtId="0" fontId="24" fillId="33" borderId="0" xfId="0" applyFont="1" applyFill="1" applyAlignment="1">
      <alignment horizontal="left" vertical="center" indent="4"/>
    </xf>
    <xf numFmtId="164" fontId="20" fillId="33" borderId="0" xfId="0" applyNumberFormat="1" applyFont="1" applyFill="1" applyAlignment="1">
      <alignment vertical="center"/>
    </xf>
    <xf numFmtId="0" fontId="30" fillId="33" borderId="10" xfId="0" applyFont="1" applyFill="1" applyBorder="1" applyAlignment="1">
      <alignment horizontal="right" vertical="center"/>
    </xf>
    <xf numFmtId="166" fontId="31" fillId="33" borderId="0" xfId="0" applyNumberFormat="1" applyFont="1" applyFill="1" applyAlignment="1">
      <alignment vertical="center"/>
    </xf>
    <xf numFmtId="0" fontId="30" fillId="33" borderId="0" xfId="0" applyFont="1" applyFill="1" applyAlignment="1">
      <alignment horizontal="left" vertical="center"/>
    </xf>
    <xf numFmtId="172" fontId="27" fillId="33" borderId="0" xfId="0" applyNumberFormat="1" applyFont="1" applyFill="1" applyAlignment="1">
      <alignment vertical="center"/>
    </xf>
    <xf numFmtId="172" fontId="20" fillId="33" borderId="0" xfId="0" applyNumberFormat="1" applyFont="1" applyFill="1" applyAlignment="1">
      <alignment vertical="center"/>
    </xf>
    <xf numFmtId="172" fontId="21" fillId="33" borderId="0" xfId="0" applyNumberFormat="1" applyFont="1" applyFill="1" applyAlignment="1">
      <alignment vertical="center"/>
    </xf>
    <xf numFmtId="173" fontId="31" fillId="33" borderId="0" xfId="0" applyNumberFormat="1" applyFont="1" applyFill="1" applyAlignment="1">
      <alignment vertical="center"/>
    </xf>
    <xf numFmtId="174" fontId="20" fillId="33" borderId="0" xfId="0" applyNumberFormat="1" applyFont="1" applyFill="1" applyAlignment="1">
      <alignment vertical="center"/>
    </xf>
    <xf numFmtId="172" fontId="24" fillId="33" borderId="0" xfId="0" applyNumberFormat="1" applyFont="1" applyFill="1" applyAlignment="1">
      <alignment vertical="center"/>
    </xf>
    <xf numFmtId="0" fontId="18" fillId="33" borderId="0" xfId="0" applyFont="1" applyFill="1" applyAlignment="1">
      <alignment horizontal="right" vertical="center"/>
    </xf>
    <xf numFmtId="164" fontId="20" fillId="33" borderId="0" xfId="0" applyNumberFormat="1" applyFont="1" applyFill="1" applyAlignment="1">
      <alignment horizontal="right" vertical="center"/>
    </xf>
    <xf numFmtId="0" fontId="19" fillId="0" borderId="0" xfId="0" applyFont="1" applyAlignment="1">
      <alignment horizontal="right" vertical="center"/>
    </xf>
    <xf numFmtId="0" fontId="18" fillId="33" borderId="0" xfId="0" applyFont="1" applyFill="1" applyAlignment="1">
      <alignment horizontal="left" vertical="center"/>
    </xf>
    <xf numFmtId="172" fontId="20" fillId="33" borderId="11" xfId="0" applyNumberFormat="1" applyFont="1" applyFill="1" applyBorder="1" applyAlignment="1">
      <alignment vertical="center"/>
    </xf>
    <xf numFmtId="3" fontId="32" fillId="33" borderId="11" xfId="0" applyNumberFormat="1" applyFont="1" applyFill="1" applyBorder="1" applyAlignment="1">
      <alignment horizontal="right" vertical="center" wrapText="1"/>
    </xf>
    <xf numFmtId="176" fontId="24" fillId="33" borderId="0" xfId="0" applyNumberFormat="1" applyFont="1" applyFill="1" applyAlignment="1">
      <alignment vertical="center"/>
    </xf>
    <xf numFmtId="176" fontId="33" fillId="33" borderId="0" xfId="0" applyNumberFormat="1" applyFont="1" applyFill="1" applyAlignment="1">
      <alignment vertical="center"/>
    </xf>
    <xf numFmtId="177" fontId="33" fillId="33" borderId="0" xfId="0" applyNumberFormat="1" applyFont="1" applyFill="1" applyAlignment="1">
      <alignment vertical="center"/>
    </xf>
    <xf numFmtId="0" fontId="18" fillId="33" borderId="10" xfId="0" applyFont="1" applyFill="1" applyBorder="1" applyAlignment="1">
      <alignment vertical="center"/>
    </xf>
    <xf numFmtId="15" fontId="18" fillId="33" borderId="0" xfId="0" applyNumberFormat="1" applyFont="1" applyFill="1" applyAlignment="1">
      <alignment horizontal="center" vertical="center"/>
    </xf>
    <xf numFmtId="0" fontId="20" fillId="33" borderId="11" xfId="0" applyFont="1" applyFill="1" applyBorder="1" applyAlignment="1">
      <alignment horizontal="left" vertical="center"/>
    </xf>
    <xf numFmtId="0" fontId="20" fillId="33" borderId="11" xfId="0" applyFont="1" applyFill="1" applyBorder="1" applyAlignment="1">
      <alignment horizontal="right" vertical="center"/>
    </xf>
    <xf numFmtId="0" fontId="20" fillId="33" borderId="10" xfId="0" applyFont="1" applyFill="1" applyBorder="1" applyAlignment="1">
      <alignment horizontal="left" vertical="center"/>
    </xf>
    <xf numFmtId="175" fontId="34" fillId="33" borderId="10" xfId="0" applyNumberFormat="1" applyFont="1" applyFill="1" applyBorder="1" applyAlignment="1">
      <alignment horizontal="right" vertical="center"/>
    </xf>
    <xf numFmtId="8" fontId="20" fillId="33" borderId="0" xfId="0" applyNumberFormat="1" applyFont="1" applyFill="1" applyAlignment="1">
      <alignment horizontal="right" vertical="center"/>
    </xf>
    <xf numFmtId="0" fontId="20" fillId="33" borderId="0" xfId="0" applyFont="1" applyFill="1"/>
    <xf numFmtId="164" fontId="36" fillId="33" borderId="0" xfId="0" applyNumberFormat="1" applyFont="1" applyFill="1" applyAlignment="1">
      <alignment horizontal="center"/>
    </xf>
    <xf numFmtId="0" fontId="36" fillId="33" borderId="0" xfId="0" applyFont="1" applyFill="1" applyAlignment="1">
      <alignment horizontal="center" vertical="center"/>
    </xf>
    <xf numFmtId="0" fontId="37" fillId="33" borderId="0" xfId="0" applyFont="1" applyFill="1" applyAlignment="1">
      <alignment horizontal="center" vertical="center"/>
    </xf>
    <xf numFmtId="178" fontId="18" fillId="33" borderId="0" xfId="0" applyNumberFormat="1" applyFont="1" applyFill="1" applyAlignment="1">
      <alignment horizontal="center" vertical="center"/>
    </xf>
    <xf numFmtId="178" fontId="36" fillId="33" borderId="0" xfId="0" applyNumberFormat="1" applyFont="1" applyFill="1" applyAlignment="1">
      <alignment horizontal="center" vertical="top"/>
    </xf>
    <xf numFmtId="179" fontId="35" fillId="33" borderId="13" xfId="0" applyNumberFormat="1" applyFont="1" applyFill="1" applyBorder="1" applyAlignment="1">
      <alignment horizontal="center" vertical="center"/>
    </xf>
    <xf numFmtId="179" fontId="35" fillId="33" borderId="16" xfId="0" applyNumberFormat="1" applyFont="1" applyFill="1" applyBorder="1" applyAlignment="1">
      <alignment horizontal="center" vertical="center"/>
    </xf>
    <xf numFmtId="179" fontId="35" fillId="33" borderId="19" xfId="0" applyNumberFormat="1" applyFont="1" applyFill="1" applyBorder="1" applyAlignment="1">
      <alignment horizontal="center" vertical="center"/>
    </xf>
    <xf numFmtId="0" fontId="16" fillId="0" borderId="0" xfId="0" applyFont="1"/>
    <xf numFmtId="0" fontId="0" fillId="0" borderId="0" xfId="0" quotePrefix="1"/>
    <xf numFmtId="172" fontId="18" fillId="33" borderId="0" xfId="0" applyNumberFormat="1" applyFont="1" applyFill="1" applyAlignment="1">
      <alignment horizontal="center" vertical="center"/>
    </xf>
    <xf numFmtId="180" fontId="31" fillId="33" borderId="0" xfId="0" applyNumberFormat="1" applyFont="1" applyFill="1" applyAlignment="1">
      <alignment vertical="center"/>
    </xf>
    <xf numFmtId="0" fontId="38" fillId="33" borderId="0" xfId="0" applyFont="1" applyFill="1" applyAlignment="1">
      <alignment horizontal="left" vertical="center" indent="1"/>
    </xf>
    <xf numFmtId="173" fontId="38" fillId="33" borderId="0" xfId="0" applyNumberFormat="1" applyFont="1" applyFill="1" applyAlignment="1">
      <alignment vertical="center"/>
    </xf>
    <xf numFmtId="180" fontId="38" fillId="33" borderId="0" xfId="0" applyNumberFormat="1" applyFont="1" applyFill="1" applyAlignment="1">
      <alignment vertical="center"/>
    </xf>
    <xf numFmtId="180" fontId="18" fillId="33" borderId="0" xfId="0" applyNumberFormat="1" applyFont="1" applyFill="1" applyAlignment="1">
      <alignment vertical="center"/>
    </xf>
    <xf numFmtId="9" fontId="38" fillId="33" borderId="0" xfId="0" applyNumberFormat="1" applyFont="1" applyFill="1" applyAlignment="1">
      <alignment vertical="center"/>
    </xf>
    <xf numFmtId="164" fontId="38" fillId="33" borderId="0" xfId="0" applyNumberFormat="1" applyFont="1" applyFill="1" applyAlignment="1">
      <alignment vertical="center"/>
    </xf>
    <xf numFmtId="172" fontId="39" fillId="33" borderId="0" xfId="0" applyNumberFormat="1" applyFont="1" applyFill="1" applyAlignment="1">
      <alignment horizontal="right" vertical="center"/>
    </xf>
    <xf numFmtId="0" fontId="38" fillId="33" borderId="0" xfId="0" applyFont="1" applyFill="1" applyAlignment="1">
      <alignment horizontal="left" vertical="center"/>
    </xf>
    <xf numFmtId="3" fontId="30" fillId="33" borderId="0" xfId="0" applyNumberFormat="1" applyFont="1" applyFill="1" applyAlignment="1">
      <alignment horizontal="center" vertical="center"/>
    </xf>
    <xf numFmtId="0" fontId="38" fillId="33" borderId="0" xfId="0" applyFont="1" applyFill="1" applyAlignment="1">
      <alignment horizontal="left" vertical="center" indent="2"/>
    </xf>
    <xf numFmtId="176" fontId="38" fillId="33" borderId="0" xfId="0" applyNumberFormat="1" applyFont="1" applyFill="1" applyAlignment="1">
      <alignment vertical="center"/>
    </xf>
    <xf numFmtId="0" fontId="21" fillId="33" borderId="10" xfId="0" applyFont="1" applyFill="1" applyBorder="1" applyAlignment="1">
      <alignment horizontal="center" vertical="center"/>
    </xf>
    <xf numFmtId="166" fontId="20" fillId="33" borderId="0" xfId="0" applyNumberFormat="1" applyFont="1" applyFill="1" applyAlignment="1">
      <alignment horizontal="center" vertical="center"/>
    </xf>
    <xf numFmtId="3" fontId="38" fillId="33" borderId="0" xfId="0" applyNumberFormat="1" applyFont="1" applyFill="1" applyAlignment="1">
      <alignment vertical="center"/>
    </xf>
    <xf numFmtId="181" fontId="20" fillId="33" borderId="0" xfId="0" applyNumberFormat="1" applyFont="1" applyFill="1" applyAlignment="1">
      <alignment vertical="center"/>
    </xf>
    <xf numFmtId="165" fontId="20" fillId="33" borderId="0" xfId="43" applyNumberFormat="1" applyFont="1" applyFill="1" applyAlignment="1">
      <alignment vertical="center"/>
    </xf>
    <xf numFmtId="182" fontId="20" fillId="33" borderId="0" xfId="42" applyNumberFormat="1" applyFont="1" applyFill="1" applyAlignment="1">
      <alignment vertical="center"/>
    </xf>
    <xf numFmtId="1" fontId="30" fillId="33" borderId="0" xfId="0" applyNumberFormat="1" applyFont="1" applyFill="1" applyAlignment="1">
      <alignment vertical="center"/>
    </xf>
    <xf numFmtId="166" fontId="41" fillId="33" borderId="0" xfId="0" applyNumberFormat="1" applyFont="1" applyFill="1" applyAlignment="1">
      <alignment vertical="center"/>
    </xf>
    <xf numFmtId="168" fontId="30" fillId="33" borderId="0" xfId="0" applyNumberFormat="1" applyFont="1" applyFill="1" applyAlignment="1">
      <alignment vertical="center"/>
    </xf>
    <xf numFmtId="3" fontId="41" fillId="33" borderId="0" xfId="0" applyNumberFormat="1" applyFont="1" applyFill="1" applyAlignment="1">
      <alignment vertical="center"/>
    </xf>
    <xf numFmtId="172" fontId="18" fillId="33" borderId="0" xfId="0" applyNumberFormat="1" applyFont="1" applyFill="1" applyAlignment="1">
      <alignment vertical="center"/>
    </xf>
    <xf numFmtId="172" fontId="41" fillId="33" borderId="0" xfId="0" applyNumberFormat="1" applyFont="1" applyFill="1" applyAlignment="1">
      <alignment vertical="center"/>
    </xf>
    <xf numFmtId="172" fontId="28" fillId="33" borderId="0" xfId="0" applyNumberFormat="1" applyFont="1" applyFill="1" applyAlignment="1">
      <alignment vertical="center"/>
    </xf>
    <xf numFmtId="9" fontId="38" fillId="34" borderId="0" xfId="0" applyNumberFormat="1" applyFont="1" applyFill="1" applyAlignment="1">
      <alignment vertical="center"/>
    </xf>
    <xf numFmtId="168" fontId="43" fillId="33" borderId="0" xfId="0" applyNumberFormat="1" applyFont="1" applyFill="1" applyAlignment="1">
      <alignment horizontal="justify" vertical="center"/>
    </xf>
    <xf numFmtId="168" fontId="44" fillId="33" borderId="21" xfId="0" applyNumberFormat="1" applyFont="1" applyFill="1" applyBorder="1" applyAlignment="1">
      <alignment horizontal="justify" vertical="center"/>
    </xf>
    <xf numFmtId="164" fontId="41" fillId="33" borderId="0" xfId="0" applyNumberFormat="1" applyFont="1" applyFill="1" applyAlignment="1">
      <alignment vertical="center"/>
    </xf>
    <xf numFmtId="173" fontId="41" fillId="33" borderId="0" xfId="0" applyNumberFormat="1" applyFont="1" applyFill="1" applyAlignment="1">
      <alignment vertical="center"/>
    </xf>
    <xf numFmtId="180" fontId="41" fillId="33" borderId="0" xfId="0" applyNumberFormat="1" applyFont="1" applyFill="1" applyAlignment="1">
      <alignment vertical="center"/>
    </xf>
    <xf numFmtId="170" fontId="41" fillId="33" borderId="10" xfId="0" applyNumberFormat="1" applyFont="1" applyFill="1" applyBorder="1" applyAlignment="1">
      <alignment horizontal="right" vertical="center"/>
    </xf>
    <xf numFmtId="172" fontId="41" fillId="33" borderId="11" xfId="0" applyNumberFormat="1" applyFont="1" applyFill="1" applyBorder="1" applyAlignment="1">
      <alignment vertical="center"/>
    </xf>
    <xf numFmtId="0" fontId="38" fillId="33" borderId="0" xfId="0" applyFont="1" applyFill="1" applyAlignment="1">
      <alignment horizontal="left" vertical="center" indent="3"/>
    </xf>
    <xf numFmtId="177" fontId="38" fillId="33" borderId="0" xfId="0" applyNumberFormat="1" applyFont="1" applyFill="1" applyAlignment="1">
      <alignment vertical="center"/>
    </xf>
    <xf numFmtId="0" fontId="38" fillId="33" borderId="0" xfId="0" applyFont="1" applyFill="1" applyAlignment="1">
      <alignment horizontal="left" vertical="center" indent="4"/>
    </xf>
    <xf numFmtId="166" fontId="45" fillId="33" borderId="0" xfId="0" applyNumberFormat="1" applyFont="1" applyFill="1" applyAlignment="1">
      <alignment vertical="center"/>
    </xf>
    <xf numFmtId="166" fontId="45" fillId="33" borderId="0" xfId="0" applyNumberFormat="1" applyFont="1" applyFill="1" applyAlignment="1">
      <alignment horizontal="left" vertical="center" indent="2"/>
    </xf>
    <xf numFmtId="0" fontId="20" fillId="33" borderId="0" xfId="0" applyFont="1" applyFill="1" applyAlignment="1">
      <alignment horizontal="left" vertical="center" indent="5"/>
    </xf>
    <xf numFmtId="9" fontId="41" fillId="33" borderId="0" xfId="0" applyNumberFormat="1" applyFont="1" applyFill="1" applyAlignment="1">
      <alignment vertical="center"/>
    </xf>
    <xf numFmtId="170" fontId="30" fillId="33" borderId="10" xfId="0" applyNumberFormat="1" applyFont="1" applyFill="1" applyBorder="1" applyAlignment="1">
      <alignment horizontal="center" vertical="center"/>
    </xf>
    <xf numFmtId="183" fontId="20" fillId="33" borderId="0" xfId="0" applyNumberFormat="1" applyFont="1" applyFill="1" applyAlignment="1">
      <alignment horizontal="right" vertical="center"/>
    </xf>
    <xf numFmtId="164" fontId="41" fillId="33" borderId="0" xfId="0" applyNumberFormat="1" applyFont="1" applyFill="1" applyAlignment="1">
      <alignment horizontal="right" vertical="center"/>
    </xf>
    <xf numFmtId="166" fontId="41" fillId="33" borderId="0" xfId="0" applyNumberFormat="1" applyFont="1" applyFill="1" applyAlignment="1">
      <alignment horizontal="right" vertical="center"/>
    </xf>
    <xf numFmtId="166" fontId="18" fillId="33" borderId="0" xfId="0" applyNumberFormat="1" applyFont="1" applyFill="1" applyAlignment="1">
      <alignment horizontal="center" vertical="center"/>
    </xf>
    <xf numFmtId="184" fontId="21" fillId="33" borderId="0" xfId="0" applyNumberFormat="1" applyFont="1" applyFill="1" applyAlignment="1">
      <alignment vertical="center"/>
    </xf>
    <xf numFmtId="171" fontId="20" fillId="33" borderId="0" xfId="0" applyNumberFormat="1" applyFont="1" applyFill="1" applyAlignment="1">
      <alignment horizontal="right" vertical="center"/>
    </xf>
    <xf numFmtId="164" fontId="18" fillId="33" borderId="0" xfId="0" applyNumberFormat="1" applyFont="1" applyFill="1" applyAlignment="1">
      <alignment horizontal="center" vertical="center"/>
    </xf>
    <xf numFmtId="179" fontId="35" fillId="33" borderId="12" xfId="0" applyNumberFormat="1" applyFont="1" applyFill="1" applyBorder="1" applyAlignment="1">
      <alignment horizontal="center" vertical="center"/>
    </xf>
    <xf numFmtId="179" fontId="35" fillId="33" borderId="14" xfId="0" applyNumberFormat="1" applyFont="1" applyFill="1" applyBorder="1" applyAlignment="1">
      <alignment horizontal="center" vertical="center"/>
    </xf>
    <xf numFmtId="179" fontId="35" fillId="33" borderId="15" xfId="0" applyNumberFormat="1" applyFont="1" applyFill="1" applyBorder="1" applyAlignment="1">
      <alignment horizontal="center" vertical="center"/>
    </xf>
    <xf numFmtId="179" fontId="35" fillId="33" borderId="17" xfId="0" applyNumberFormat="1" applyFont="1" applyFill="1" applyBorder="1" applyAlignment="1">
      <alignment horizontal="center" vertical="center"/>
    </xf>
    <xf numFmtId="179" fontId="35" fillId="33" borderId="18" xfId="0" applyNumberFormat="1" applyFont="1" applyFill="1" applyBorder="1" applyAlignment="1">
      <alignment horizontal="center" vertical="center"/>
    </xf>
    <xf numFmtId="179" fontId="35" fillId="33" borderId="20" xfId="0" applyNumberFormat="1" applyFont="1" applyFill="1" applyBorder="1" applyAlignment="1">
      <alignment horizontal="center" vertical="center"/>
    </xf>
    <xf numFmtId="0" fontId="36" fillId="33" borderId="0" xfId="0" applyFont="1" applyFill="1" applyAlignment="1">
      <alignment vertical="top"/>
    </xf>
    <xf numFmtId="173" fontId="18" fillId="33" borderId="0" xfId="0" applyNumberFormat="1" applyFont="1" applyFill="1" applyAlignment="1">
      <alignment vertical="center"/>
    </xf>
    <xf numFmtId="185" fontId="34" fillId="33" borderId="11" xfId="0" applyNumberFormat="1" applyFont="1" applyFill="1" applyBorder="1" applyAlignment="1">
      <alignment horizontal="right" vertical="center"/>
    </xf>
    <xf numFmtId="178" fontId="47" fillId="33" borderId="0" xfId="0" applyNumberFormat="1" applyFont="1" applyFill="1" applyAlignment="1">
      <alignment horizontal="center" vertical="top"/>
    </xf>
    <xf numFmtId="0" fontId="36" fillId="33" borderId="0" xfId="0" applyFont="1" applyFill="1" applyAlignment="1">
      <alignment horizontal="right" vertical="center" textRotation="90"/>
    </xf>
    <xf numFmtId="0" fontId="36" fillId="33" borderId="0" xfId="0" applyFont="1" applyFill="1" applyAlignment="1">
      <alignment horizontal="center"/>
    </xf>
    <xf numFmtId="0" fontId="46" fillId="33" borderId="10" xfId="0" applyFont="1" applyFill="1" applyBorder="1" applyAlignment="1">
      <alignment horizontal="center" vertical="center"/>
    </xf>
    <xf numFmtId="9" fontId="20" fillId="33" borderId="11" xfId="0" applyNumberFormat="1" applyFont="1" applyFill="1" applyBorder="1" applyAlignment="1">
      <alignment horizontal="center" vertical="center"/>
    </xf>
    <xf numFmtId="3" fontId="20" fillId="33" borderId="11" xfId="0" applyNumberFormat="1" applyFont="1" applyFill="1" applyBorder="1" applyAlignment="1">
      <alignment horizontal="center" vertical="center"/>
    </xf>
    <xf numFmtId="3" fontId="20" fillId="33" borderId="10" xfId="0" applyNumberFormat="1" applyFont="1" applyFill="1" applyBorder="1" applyAlignment="1">
      <alignment horizontal="center" vertical="center"/>
    </xf>
    <xf numFmtId="3" fontId="30" fillId="33" borderId="0" xfId="0" applyNumberFormat="1" applyFont="1" applyFill="1" applyAlignment="1">
      <alignment horizontal="center" vertical="center"/>
    </xf>
  </cellXfs>
  <cellStyles count="44">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29" builtinId="26" customBuiltin="1"/>
    <cellStyle name="Cálculo" xfId="26" builtinId="22" customBuiltin="1"/>
    <cellStyle name="Célula de Verificação" xfId="27" builtinId="23" customBuiltin="1"/>
    <cellStyle name="Célula Vinculada" xfId="35" builtinId="24" customBuiltin="1"/>
    <cellStyle name="Ênfase1" xfId="19" builtinId="29" customBuiltin="1"/>
    <cellStyle name="Ênfase2" xfId="20" builtinId="33" customBuiltin="1"/>
    <cellStyle name="Ênfase3" xfId="21" builtinId="37" customBuiltin="1"/>
    <cellStyle name="Ênfase4" xfId="22" builtinId="41" customBuiltin="1"/>
    <cellStyle name="Ênfase5" xfId="23" builtinId="45" customBuiltin="1"/>
    <cellStyle name="Ênfase6" xfId="24" builtinId="49" customBuiltin="1"/>
    <cellStyle name="Entrada" xfId="34" builtinId="20" customBuiltin="1"/>
    <cellStyle name="Neutro" xfId="36" builtinId="28" customBuiltin="1"/>
    <cellStyle name="Normal" xfId="0" builtinId="0"/>
    <cellStyle name="Nota" xfId="37" builtinId="10" customBuiltin="1"/>
    <cellStyle name="Porcentagem" xfId="42" builtinId="5"/>
    <cellStyle name="Ruim" xfId="25" builtinId="27" customBuiltin="1"/>
    <cellStyle name="Saída" xfId="38" builtinId="21" customBuiltin="1"/>
    <cellStyle name="Texto de Aviso" xfId="41" builtinId="11" customBuiltin="1"/>
    <cellStyle name="Texto Explicativo" xfId="28" builtinId="53" customBuiltin="1"/>
    <cellStyle name="Título" xfId="39" builtinId="15" customBuiltin="1"/>
    <cellStyle name="Título 1" xfId="30" builtinId="16" customBuiltin="1"/>
    <cellStyle name="Título 2" xfId="31" builtinId="17" customBuiltin="1"/>
    <cellStyle name="Título 3" xfId="32" builtinId="18" customBuiltin="1"/>
    <cellStyle name="Título 4" xfId="33" builtinId="19" customBuiltin="1"/>
    <cellStyle name="Total" xfId="40" builtinId="25" customBuiltin="1"/>
    <cellStyle name="Vírgula" xfId="43" builtinId="3"/>
  </cellStyles>
  <dxfs count="18">
    <dxf>
      <numFmt numFmtId="186" formatCode="&quot;-&quot;"/>
    </dxf>
    <dxf>
      <numFmt numFmtId="186" formatCode="&quot;-&quot;"/>
    </dxf>
    <dxf>
      <numFmt numFmtId="186" formatCode="&quot;-&quot;"/>
    </dxf>
    <dxf>
      <numFmt numFmtId="186" formatCode="&quot;-&quot;"/>
    </dxf>
    <dxf>
      <numFmt numFmtId="186" formatCode="&quot;-&quot;"/>
    </dxf>
    <dxf>
      <numFmt numFmtId="186" formatCode="&quot;-&quot;"/>
    </dxf>
    <dxf>
      <numFmt numFmtId="186" formatCode="&quot;-&quot;"/>
    </dxf>
    <dxf>
      <numFmt numFmtId="186" formatCode="&quot;-&quot;"/>
    </dxf>
    <dxf>
      <numFmt numFmtId="186" formatCode="&quot;-&quot;"/>
    </dxf>
    <dxf>
      <numFmt numFmtId="186" formatCode="&quot;-&quot;"/>
    </dxf>
    <dxf>
      <numFmt numFmtId="186" formatCode="&quot;-&quot;"/>
    </dxf>
    <dxf>
      <numFmt numFmtId="186" formatCode="&quot;-&quot;"/>
    </dxf>
    <dxf>
      <numFmt numFmtId="186" formatCode="&quot;-&quot;"/>
    </dxf>
    <dxf>
      <font>
        <color rgb="FF3C963C"/>
      </font>
    </dxf>
    <dxf>
      <font>
        <color rgb="FFC00000"/>
      </font>
    </dxf>
    <dxf>
      <numFmt numFmtId="186" formatCode="&quot;-&quot;"/>
    </dxf>
    <dxf>
      <numFmt numFmtId="186" formatCode="&quot;-&quot;"/>
    </dxf>
    <dxf>
      <numFmt numFmtId="186" formatCode="&quot;-&quot;"/>
    </dxf>
  </dxfs>
  <tableStyles count="0" defaultTableStyle="TableStyleMedium2" defaultPivotStyle="PivotStyleLight16"/>
  <colors>
    <mruColors>
      <color rgb="FF1C1D1D"/>
      <color rgb="FF43AF43"/>
      <color rgb="FF5E5E5E"/>
      <color rgb="FF920000"/>
      <color rgb="FFD3D3D3"/>
      <color rgb="FFFCA5A5"/>
      <color rgb="FF4FE04F"/>
      <color rgb="FFEF4444"/>
      <color rgb="FF317A31"/>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DRE + DCF'!A1"/><Relationship Id="rId2" Type="http://schemas.openxmlformats.org/officeDocument/2006/relationships/hyperlink" Target="#'Proje&#231;&#245;es - Receita Financeira'!A1"/><Relationship Id="rId1" Type="http://schemas.openxmlformats.org/officeDocument/2006/relationships/hyperlink" Target="#'Proje&#231;&#245;es - Receita Varejo'!A1"/><Relationship Id="rId5" Type="http://schemas.openxmlformats.org/officeDocument/2006/relationships/hyperlink" Target="#'Painel de &#205;ndices'!A1"/><Relationship Id="rId4" Type="http://schemas.openxmlformats.org/officeDocument/2006/relationships/hyperlink" Target="#'Balan&#231;o Patrimonial'!A1"/></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1</xdr:col>
      <xdr:colOff>349430</xdr:colOff>
      <xdr:row>1</xdr:row>
      <xdr:rowOff>30481</xdr:rowOff>
    </xdr:from>
    <xdr:to>
      <xdr:col>2</xdr:col>
      <xdr:colOff>968630</xdr:colOff>
      <xdr:row>2</xdr:row>
      <xdr:rowOff>76201</xdr:rowOff>
    </xdr:to>
    <xdr:sp macro="" textlink="">
      <xdr:nvSpPr>
        <xdr:cNvPr id="3" name="Retângulo: Cantos Arredondados 2">
          <a:hlinkClick xmlns:r="http://schemas.openxmlformats.org/officeDocument/2006/relationships" r:id="rId1"/>
          <a:extLst>
            <a:ext uri="{FF2B5EF4-FFF2-40B4-BE49-F238E27FC236}">
              <a16:creationId xmlns:a16="http://schemas.microsoft.com/office/drawing/2014/main" id="{7D607B73-20C1-E49E-BFCC-9BF1DB529307}"/>
            </a:ext>
          </a:extLst>
        </xdr:cNvPr>
        <xdr:cNvSpPr/>
      </xdr:nvSpPr>
      <xdr:spPr>
        <a:xfrm>
          <a:off x="959030" y="320041"/>
          <a:ext cx="2448000" cy="335280"/>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t-BR" sz="1400" b="1">
              <a:solidFill>
                <a:srgbClr val="43AF43"/>
              </a:solidFill>
            </a:rPr>
            <a:t>Projeções </a:t>
          </a:r>
          <a:r>
            <a:rPr lang="pt-BR" sz="1400" b="1" baseline="0">
              <a:solidFill>
                <a:srgbClr val="43AF43"/>
              </a:solidFill>
            </a:rPr>
            <a:t>- Receita de Varejo</a:t>
          </a:r>
        </a:p>
        <a:p>
          <a:pPr algn="l"/>
          <a:endParaRPr lang="pt-BR" sz="1100">
            <a:solidFill>
              <a:srgbClr val="43AF43"/>
            </a:solidFill>
          </a:endParaRPr>
        </a:p>
      </xdr:txBody>
    </xdr:sp>
    <xdr:clientData/>
  </xdr:twoCellAnchor>
  <xdr:twoCellAnchor>
    <xdr:from>
      <xdr:col>2</xdr:col>
      <xdr:colOff>1187631</xdr:colOff>
      <xdr:row>1</xdr:row>
      <xdr:rowOff>30481</xdr:rowOff>
    </xdr:from>
    <xdr:to>
      <xdr:col>4</xdr:col>
      <xdr:colOff>464820</xdr:colOff>
      <xdr:row>2</xdr:row>
      <xdr:rowOff>76201</xdr:rowOff>
    </xdr:to>
    <xdr:sp macro="" textlink="">
      <xdr:nvSpPr>
        <xdr:cNvPr id="4" name="Retângulo: Cantos Arredondados 3">
          <a:hlinkClick xmlns:r="http://schemas.openxmlformats.org/officeDocument/2006/relationships" r:id="rId2"/>
          <a:extLst>
            <a:ext uri="{FF2B5EF4-FFF2-40B4-BE49-F238E27FC236}">
              <a16:creationId xmlns:a16="http://schemas.microsoft.com/office/drawing/2014/main" id="{121C08E9-C195-CD70-14B5-3782965C0BEE}"/>
            </a:ext>
          </a:extLst>
        </xdr:cNvPr>
        <xdr:cNvSpPr/>
      </xdr:nvSpPr>
      <xdr:spPr>
        <a:xfrm>
          <a:off x="3626031" y="320041"/>
          <a:ext cx="2447109" cy="335280"/>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t-BR" sz="1400" b="1">
              <a:solidFill>
                <a:srgbClr val="00B050"/>
              </a:solidFill>
            </a:rPr>
            <a:t>Projeções</a:t>
          </a:r>
          <a:r>
            <a:rPr lang="pt-BR" sz="1400" b="1" baseline="0">
              <a:solidFill>
                <a:srgbClr val="00B050"/>
              </a:solidFill>
            </a:rPr>
            <a:t> - Receita Financeira</a:t>
          </a:r>
        </a:p>
        <a:p>
          <a:pPr algn="l"/>
          <a:endParaRPr lang="pt-BR" sz="1100"/>
        </a:p>
      </xdr:txBody>
    </xdr:sp>
    <xdr:clientData/>
  </xdr:twoCellAnchor>
  <xdr:twoCellAnchor>
    <xdr:from>
      <xdr:col>5</xdr:col>
      <xdr:colOff>29390</xdr:colOff>
      <xdr:row>1</xdr:row>
      <xdr:rowOff>30481</xdr:rowOff>
    </xdr:from>
    <xdr:to>
      <xdr:col>8</xdr:col>
      <xdr:colOff>534290</xdr:colOff>
      <xdr:row>2</xdr:row>
      <xdr:rowOff>76201</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2BAF976F-9C41-E6E7-8A98-49F7B5621D63}"/>
            </a:ext>
          </a:extLst>
        </xdr:cNvPr>
        <xdr:cNvSpPr/>
      </xdr:nvSpPr>
      <xdr:spPr>
        <a:xfrm>
          <a:off x="6247310" y="320041"/>
          <a:ext cx="2448000" cy="335280"/>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t-BR" sz="1400" b="1">
              <a:solidFill>
                <a:srgbClr val="00B050"/>
              </a:solidFill>
            </a:rPr>
            <a:t>DRE e DCF</a:t>
          </a:r>
        </a:p>
        <a:p>
          <a:pPr algn="ctr"/>
          <a:endParaRPr lang="pt-BR" sz="1400" b="1">
            <a:solidFill>
              <a:srgbClr val="00B050"/>
            </a:solidFill>
          </a:endParaRPr>
        </a:p>
        <a:p>
          <a:pPr algn="ctr"/>
          <a:endParaRPr lang="pt-BR" sz="1100"/>
        </a:p>
      </xdr:txBody>
    </xdr:sp>
    <xdr:clientData/>
  </xdr:twoCellAnchor>
  <xdr:twoCellAnchor>
    <xdr:from>
      <xdr:col>9</xdr:col>
      <xdr:colOff>82730</xdr:colOff>
      <xdr:row>1</xdr:row>
      <xdr:rowOff>30481</xdr:rowOff>
    </xdr:from>
    <xdr:to>
      <xdr:col>13</xdr:col>
      <xdr:colOff>92330</xdr:colOff>
      <xdr:row>2</xdr:row>
      <xdr:rowOff>76201</xdr:rowOff>
    </xdr:to>
    <xdr:sp macro="" textlink="">
      <xdr:nvSpPr>
        <xdr:cNvPr id="6" name="Retângulo: Cantos Arredondados 5">
          <a:hlinkClick xmlns:r="http://schemas.openxmlformats.org/officeDocument/2006/relationships" r:id="rId4"/>
          <a:extLst>
            <a:ext uri="{FF2B5EF4-FFF2-40B4-BE49-F238E27FC236}">
              <a16:creationId xmlns:a16="http://schemas.microsoft.com/office/drawing/2014/main" id="{761BB4CD-4436-3B3B-A13C-4011C4636778}"/>
            </a:ext>
          </a:extLst>
        </xdr:cNvPr>
        <xdr:cNvSpPr/>
      </xdr:nvSpPr>
      <xdr:spPr>
        <a:xfrm>
          <a:off x="8853350" y="320041"/>
          <a:ext cx="2448000" cy="335280"/>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t-BR" sz="1400" b="1">
              <a:solidFill>
                <a:srgbClr val="00B050"/>
              </a:solidFill>
            </a:rPr>
            <a:t>Balanço</a:t>
          </a:r>
          <a:r>
            <a:rPr lang="pt-BR" sz="1400" b="1" baseline="0">
              <a:solidFill>
                <a:srgbClr val="00B050"/>
              </a:solidFill>
            </a:rPr>
            <a:t> Patrimonial</a:t>
          </a:r>
        </a:p>
        <a:p>
          <a:pPr algn="ctr"/>
          <a:endParaRPr lang="pt-BR" sz="1100"/>
        </a:p>
      </xdr:txBody>
    </xdr:sp>
    <xdr:clientData/>
  </xdr:twoCellAnchor>
  <xdr:twoCellAnchor>
    <xdr:from>
      <xdr:col>13</xdr:col>
      <xdr:colOff>257990</xdr:colOff>
      <xdr:row>1</xdr:row>
      <xdr:rowOff>30481</xdr:rowOff>
    </xdr:from>
    <xdr:to>
      <xdr:col>17</xdr:col>
      <xdr:colOff>267590</xdr:colOff>
      <xdr:row>2</xdr:row>
      <xdr:rowOff>76201</xdr:rowOff>
    </xdr:to>
    <xdr:sp macro="" textlink="">
      <xdr:nvSpPr>
        <xdr:cNvPr id="7" name="Retângulo: Cantos Arredondados 6">
          <a:hlinkClick xmlns:r="http://schemas.openxmlformats.org/officeDocument/2006/relationships" r:id="rId5"/>
          <a:extLst>
            <a:ext uri="{FF2B5EF4-FFF2-40B4-BE49-F238E27FC236}">
              <a16:creationId xmlns:a16="http://schemas.microsoft.com/office/drawing/2014/main" id="{B7C6B578-9B26-CFED-76EA-42EF5C15225A}"/>
            </a:ext>
          </a:extLst>
        </xdr:cNvPr>
        <xdr:cNvSpPr/>
      </xdr:nvSpPr>
      <xdr:spPr>
        <a:xfrm>
          <a:off x="11467010" y="320041"/>
          <a:ext cx="2448000" cy="335280"/>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t-BR" sz="1400" b="1">
              <a:solidFill>
                <a:srgbClr val="00B050"/>
              </a:solidFill>
            </a:rPr>
            <a:t>Painel</a:t>
          </a:r>
          <a:r>
            <a:rPr lang="pt-BR" sz="1400" b="1" baseline="0">
              <a:solidFill>
                <a:srgbClr val="00B050"/>
              </a:solidFill>
            </a:rPr>
            <a:t> de índices</a:t>
          </a:r>
        </a:p>
        <a:p>
          <a:pPr algn="ctr"/>
          <a:endParaRPr lang="pt-BR"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975360</xdr:colOff>
      <xdr:row>1</xdr:row>
      <xdr:rowOff>99060</xdr:rowOff>
    </xdr:from>
    <xdr:to>
      <xdr:col>1</xdr:col>
      <xdr:colOff>2119920</xdr:colOff>
      <xdr:row>2</xdr:row>
      <xdr:rowOff>279780</xdr:rowOff>
    </xdr:to>
    <xdr:sp macro="" textlink="">
      <xdr:nvSpPr>
        <xdr:cNvPr id="4" name="Retângulo: Cantos Arredondados 3">
          <a:hlinkClick xmlns:r="http://schemas.openxmlformats.org/officeDocument/2006/relationships" r:id="rId1"/>
          <a:extLst>
            <a:ext uri="{FF2B5EF4-FFF2-40B4-BE49-F238E27FC236}">
              <a16:creationId xmlns:a16="http://schemas.microsoft.com/office/drawing/2014/main" id="{C94E9D7D-C089-4721-86CE-E14D62DCF048}"/>
            </a:ext>
          </a:extLst>
        </xdr:cNvPr>
        <xdr:cNvSpPr/>
      </xdr:nvSpPr>
      <xdr:spPr>
        <a:xfrm>
          <a:off x="975360" y="281940"/>
          <a:ext cx="2455200" cy="363600"/>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t-BR" sz="1400" b="1">
              <a:solidFill>
                <a:srgbClr val="00B050"/>
              </a:solidFill>
            </a:rPr>
            <a:t>DASHBOARD</a:t>
          </a:r>
        </a:p>
        <a:p>
          <a:pPr algn="ctr"/>
          <a:endParaRPr lang="pt-BR"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752474</xdr:colOff>
      <xdr:row>2</xdr:row>
      <xdr:rowOff>95250</xdr:rowOff>
    </xdr:from>
    <xdr:to>
      <xdr:col>1</xdr:col>
      <xdr:colOff>2346614</xdr:colOff>
      <xdr:row>4</xdr:row>
      <xdr:rowOff>1650</xdr:rowOff>
    </xdr:to>
    <xdr:sp macro="" textlink="">
      <xdr:nvSpPr>
        <xdr:cNvPr id="3" name="Retângulo: Cantos Arredondados 2">
          <a:hlinkClick xmlns:r="http://schemas.openxmlformats.org/officeDocument/2006/relationships" r:id="rId1"/>
          <a:extLst>
            <a:ext uri="{FF2B5EF4-FFF2-40B4-BE49-F238E27FC236}">
              <a16:creationId xmlns:a16="http://schemas.microsoft.com/office/drawing/2014/main" id="{CDEE0870-87F8-46E2-9A24-4CEAF31A48A8}"/>
            </a:ext>
          </a:extLst>
        </xdr:cNvPr>
        <xdr:cNvSpPr/>
      </xdr:nvSpPr>
      <xdr:spPr>
        <a:xfrm>
          <a:off x="752474" y="552450"/>
          <a:ext cx="2455200" cy="363600"/>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t-BR" sz="1400" b="1">
              <a:solidFill>
                <a:srgbClr val="00B050"/>
              </a:solidFill>
            </a:rPr>
            <a:t>DASHBOARD</a:t>
          </a:r>
        </a:p>
        <a:p>
          <a:pPr algn="ctr"/>
          <a:endParaRPr lang="pt-BR"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519953</xdr:colOff>
      <xdr:row>2</xdr:row>
      <xdr:rowOff>71718</xdr:rowOff>
    </xdr:from>
    <xdr:to>
      <xdr:col>1</xdr:col>
      <xdr:colOff>2112981</xdr:colOff>
      <xdr:row>3</xdr:row>
      <xdr:rowOff>202491</xdr:rowOff>
    </xdr:to>
    <xdr:sp macro="" textlink="">
      <xdr:nvSpPr>
        <xdr:cNvPr id="2" name="Retângulo: Cantos Arredondados 1">
          <a:hlinkClick xmlns:r="http://schemas.openxmlformats.org/officeDocument/2006/relationships" r:id="rId1"/>
          <a:extLst>
            <a:ext uri="{FF2B5EF4-FFF2-40B4-BE49-F238E27FC236}">
              <a16:creationId xmlns:a16="http://schemas.microsoft.com/office/drawing/2014/main" id="{1C3E901E-AF1B-44E9-871B-5429995B4642}"/>
            </a:ext>
          </a:extLst>
        </xdr:cNvPr>
        <xdr:cNvSpPr/>
      </xdr:nvSpPr>
      <xdr:spPr>
        <a:xfrm>
          <a:off x="519953" y="537883"/>
          <a:ext cx="2453640" cy="363855"/>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t-BR" sz="1400" b="1">
              <a:solidFill>
                <a:srgbClr val="00B050"/>
              </a:solidFill>
            </a:rPr>
            <a:t>DASHBOARD</a:t>
          </a:r>
        </a:p>
        <a:p>
          <a:pPr algn="ctr"/>
          <a:endParaRPr lang="pt-BR"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466165</xdr:colOff>
      <xdr:row>3</xdr:row>
      <xdr:rowOff>0</xdr:rowOff>
    </xdr:from>
    <xdr:to>
      <xdr:col>1</xdr:col>
      <xdr:colOff>2059193</xdr:colOff>
      <xdr:row>4</xdr:row>
      <xdr:rowOff>130773</xdr:rowOff>
    </xdr:to>
    <xdr:sp macro="" textlink="">
      <xdr:nvSpPr>
        <xdr:cNvPr id="3" name="Retângulo: Cantos Arredondados 2">
          <a:hlinkClick xmlns:r="http://schemas.openxmlformats.org/officeDocument/2006/relationships" r:id="rId1"/>
          <a:extLst>
            <a:ext uri="{FF2B5EF4-FFF2-40B4-BE49-F238E27FC236}">
              <a16:creationId xmlns:a16="http://schemas.microsoft.com/office/drawing/2014/main" id="{CF69B5B8-0C71-44F1-B72E-2EAEFBFC14C1}"/>
            </a:ext>
          </a:extLst>
        </xdr:cNvPr>
        <xdr:cNvSpPr/>
      </xdr:nvSpPr>
      <xdr:spPr>
        <a:xfrm>
          <a:off x="466165" y="699247"/>
          <a:ext cx="2453640" cy="363855"/>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t-BR" sz="1400" b="1">
              <a:solidFill>
                <a:srgbClr val="00B050"/>
              </a:solidFill>
            </a:rPr>
            <a:t>DASHBOARD</a:t>
          </a:r>
        </a:p>
        <a:p>
          <a:pPr algn="ctr"/>
          <a:endParaRPr lang="pt-BR"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849085</xdr:colOff>
      <xdr:row>2</xdr:row>
      <xdr:rowOff>65314</xdr:rowOff>
    </xdr:from>
    <xdr:to>
      <xdr:col>1</xdr:col>
      <xdr:colOff>2443673</xdr:colOff>
      <xdr:row>3</xdr:row>
      <xdr:rowOff>195832</xdr:rowOff>
    </xdr:to>
    <xdr:sp macro="" textlink="">
      <xdr:nvSpPr>
        <xdr:cNvPr id="2" name="Retângulo: Cantos Arredondados 1">
          <a:hlinkClick xmlns:r="http://schemas.openxmlformats.org/officeDocument/2006/relationships" r:id="rId1"/>
          <a:extLst>
            <a:ext uri="{FF2B5EF4-FFF2-40B4-BE49-F238E27FC236}">
              <a16:creationId xmlns:a16="http://schemas.microsoft.com/office/drawing/2014/main" id="{B9DB374D-F287-4068-ADFE-F8B23A9296A8}"/>
            </a:ext>
          </a:extLst>
        </xdr:cNvPr>
        <xdr:cNvSpPr/>
      </xdr:nvSpPr>
      <xdr:spPr>
        <a:xfrm>
          <a:off x="849085" y="531479"/>
          <a:ext cx="2455200" cy="363600"/>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t-BR" sz="1400" b="1">
              <a:solidFill>
                <a:srgbClr val="00B050"/>
              </a:solidFill>
            </a:rPr>
            <a:t>DASHBOARD</a:t>
          </a:r>
        </a:p>
        <a:p>
          <a:pPr algn="ctr"/>
          <a:endParaRPr lang="pt-BR"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A56B7BB-F33E-4535-B993-D72AE7DB4D42}">
  <we:reference id="wa200005271" version="2.3.0.0" store="pt-BR" storeType="OMEX"/>
  <we:alternateReferences>
    <we:reference id="wa200005271" version="2.3.0.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394E8-6289-4BAD-968A-1BD5A4352A77}">
  <sheetPr codeName="Planilha1"/>
  <dimension ref="A1:AS63"/>
  <sheetViews>
    <sheetView showGridLines="0" tabSelected="1" zoomScale="85" zoomScaleNormal="85" workbookViewId="0">
      <selection activeCell="J25" sqref="J25"/>
    </sheetView>
  </sheetViews>
  <sheetFormatPr defaultRowHeight="14.4" x14ac:dyDescent="0.3"/>
  <cols>
    <col min="2" max="2" width="26.6640625" bestFit="1" customWidth="1"/>
    <col min="3" max="3" width="37.33203125" bestFit="1" customWidth="1"/>
    <col min="7" max="7" width="9.109375" customWidth="1"/>
    <col min="8" max="8" width="10.33203125" bestFit="1" customWidth="1"/>
  </cols>
  <sheetData>
    <row r="1" spans="1:45" s="3" customFormat="1" ht="23.1" customHeight="1" x14ac:dyDescent="0.3">
      <c r="A1" s="1"/>
      <c r="B1" s="1"/>
      <c r="C1" s="2"/>
      <c r="D1" s="2"/>
      <c r="E1" s="2"/>
      <c r="F1" s="2"/>
      <c r="G1" s="2"/>
      <c r="H1" s="2"/>
      <c r="I1" s="2"/>
      <c r="J1" s="2"/>
      <c r="K1" s="2"/>
      <c r="L1" s="2"/>
      <c r="M1" s="2"/>
      <c r="N1" s="79"/>
      <c r="O1" s="2"/>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spans="1:45" s="3" customFormat="1" ht="23.1" customHeight="1" x14ac:dyDescent="0.3">
      <c r="A2" s="1"/>
      <c r="B2" s="1"/>
      <c r="C2" s="2"/>
      <c r="D2" s="2"/>
      <c r="E2" s="2"/>
      <c r="F2" s="2"/>
      <c r="G2" s="2"/>
      <c r="H2" s="2"/>
      <c r="I2" s="2"/>
      <c r="J2" s="2"/>
      <c r="K2" s="2"/>
      <c r="L2" s="2"/>
      <c r="M2" s="2"/>
      <c r="N2" s="79"/>
      <c r="O2" s="2"/>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row>
    <row r="3" spans="1:45" s="3" customFormat="1" ht="23.1" customHeight="1" x14ac:dyDescent="0.3">
      <c r="A3" s="1"/>
      <c r="B3" s="1"/>
      <c r="C3" s="2"/>
      <c r="D3" s="2"/>
      <c r="E3" s="2"/>
      <c r="F3" s="2"/>
      <c r="G3" s="2"/>
      <c r="H3" s="2"/>
      <c r="I3" s="2"/>
      <c r="J3" s="2"/>
      <c r="K3" s="2"/>
      <c r="L3" s="2"/>
      <c r="M3" s="2"/>
      <c r="N3" s="79"/>
      <c r="O3" s="2"/>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spans="1:45" s="3" customFormat="1" ht="23.1" customHeight="1" x14ac:dyDescent="0.3">
      <c r="A4" s="1"/>
      <c r="B4" s="1"/>
      <c r="C4" s="2"/>
      <c r="D4" s="2"/>
      <c r="E4" s="2"/>
      <c r="F4" s="2"/>
      <c r="G4" s="2"/>
      <c r="H4" s="2"/>
      <c r="I4" s="2"/>
      <c r="J4" s="2"/>
      <c r="K4" s="2"/>
      <c r="L4" s="2"/>
      <c r="M4" s="2"/>
      <c r="N4" s="79"/>
      <c r="O4" s="2"/>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row>
    <row r="5" spans="1:45" s="3" customFormat="1" ht="23.1" customHeight="1" x14ac:dyDescent="0.3">
      <c r="A5" s="1"/>
      <c r="B5" s="1"/>
      <c r="C5" s="2"/>
      <c r="D5" s="2"/>
      <c r="E5" s="2"/>
      <c r="F5" s="2"/>
      <c r="G5" s="161"/>
      <c r="H5" s="161"/>
      <c r="I5" s="161"/>
      <c r="J5" s="161"/>
      <c r="K5" s="161"/>
      <c r="L5" s="161"/>
      <c r="M5" s="161"/>
      <c r="N5" s="161"/>
      <c r="O5" s="16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row>
    <row r="6" spans="1:45" s="3" customFormat="1" ht="23.1" customHeight="1" thickBot="1" x14ac:dyDescent="0.35">
      <c r="A6" s="1"/>
      <c r="B6" s="167" t="s">
        <v>959</v>
      </c>
      <c r="C6" s="167"/>
      <c r="D6" s="2"/>
      <c r="E6" s="2"/>
      <c r="F6" s="99">
        <f>VALOR_ACAO</f>
        <v>14.479338846907149</v>
      </c>
      <c r="G6" s="164">
        <f t="shared" ref="G6:I6" si="0">H6-0.005</f>
        <v>-0.02</v>
      </c>
      <c r="H6" s="164">
        <f t="shared" si="0"/>
        <v>-1.4999999999999999E-2</v>
      </c>
      <c r="I6" s="164">
        <f t="shared" si="0"/>
        <v>-0.01</v>
      </c>
      <c r="J6" s="164">
        <f>K6-0.005</f>
        <v>-5.0000000000000001E-3</v>
      </c>
      <c r="K6" s="164">
        <v>0</v>
      </c>
      <c r="L6" s="164">
        <f>K6+0.005</f>
        <v>5.0000000000000001E-3</v>
      </c>
      <c r="M6" s="164">
        <f t="shared" ref="M6:O6" si="1">L6+0.005</f>
        <v>0.01</v>
      </c>
      <c r="N6" s="164">
        <f t="shared" si="1"/>
        <v>1.4999999999999999E-2</v>
      </c>
      <c r="O6" s="164">
        <f t="shared" si="1"/>
        <v>0.02</v>
      </c>
      <c r="P6" s="97"/>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row>
    <row r="7" spans="1:45" ht="23.1" customHeight="1" thickBot="1" x14ac:dyDescent="0.35">
      <c r="A7" s="2"/>
      <c r="B7" s="90" t="s">
        <v>541</v>
      </c>
      <c r="C7" s="91" t="s">
        <v>559</v>
      </c>
      <c r="D7" s="24"/>
      <c r="E7" s="165" t="s">
        <v>964</v>
      </c>
      <c r="F7" s="97">
        <f>F8+2</f>
        <v>23</v>
      </c>
      <c r="G7" s="155">
        <f t="dataTable" ref="G7:O15" dt2D="1" dtr="1" r1="K16" r2="P11"/>
        <v>18.284661369696916</v>
      </c>
      <c r="H7" s="101">
        <v>17.36530383370328</v>
      </c>
      <c r="I7" s="101">
        <v>16.509127489294315</v>
      </c>
      <c r="J7" s="101">
        <v>15.709973143308531</v>
      </c>
      <c r="K7" s="101">
        <v>14.962453525933965</v>
      </c>
      <c r="L7" s="101">
        <v>14.261836133040113</v>
      </c>
      <c r="M7" s="101">
        <v>13.603946774511908</v>
      </c>
      <c r="N7" s="101">
        <v>12.985089681438696</v>
      </c>
      <c r="O7" s="156">
        <v>12.401980947881929</v>
      </c>
      <c r="P7" s="97"/>
      <c r="Q7" s="2"/>
      <c r="R7" s="2"/>
      <c r="S7" s="2"/>
      <c r="T7" s="2"/>
      <c r="U7" s="2"/>
      <c r="V7" s="2"/>
      <c r="W7" s="2"/>
      <c r="X7" s="2"/>
      <c r="Y7" s="2"/>
      <c r="Z7" s="2"/>
      <c r="AA7" s="2"/>
      <c r="AB7" s="2"/>
      <c r="AC7" s="2"/>
      <c r="AD7" s="2"/>
      <c r="AE7" s="2"/>
      <c r="AF7" s="2"/>
      <c r="AG7" s="2"/>
      <c r="AH7" s="2"/>
      <c r="AI7" s="2"/>
      <c r="AJ7" s="2"/>
      <c r="AK7" s="2"/>
      <c r="AL7" s="2"/>
      <c r="AM7" s="2"/>
    </row>
    <row r="8" spans="1:45" ht="23.1" customHeight="1" thickTop="1" thickBot="1" x14ac:dyDescent="0.35">
      <c r="A8" s="2"/>
      <c r="B8" s="21" t="s">
        <v>547</v>
      </c>
      <c r="C8" s="41">
        <f>(308245068-5880734)/1000</f>
        <v>302364.33399999997</v>
      </c>
      <c r="D8" s="24"/>
      <c r="E8" s="165"/>
      <c r="F8" s="97">
        <f t="shared" ref="F8:F10" si="2">F9+2</f>
        <v>21</v>
      </c>
      <c r="G8" s="157">
        <v>18.121109763945821</v>
      </c>
      <c r="H8" s="102">
        <v>17.213611048901502</v>
      </c>
      <c r="I8" s="102">
        <v>16.368404822012835</v>
      </c>
      <c r="J8" s="102">
        <v>15.579419927297382</v>
      </c>
      <c r="K8" s="102">
        <v>14.841346066176808</v>
      </c>
      <c r="L8" s="102">
        <v>14.14951832019319</v>
      </c>
      <c r="M8" s="102">
        <v>13.499822082716415</v>
      </c>
      <c r="N8" s="102">
        <v>12.888614311984114</v>
      </c>
      <c r="O8" s="158">
        <v>12.312657927448029</v>
      </c>
      <c r="P8" s="97"/>
      <c r="Q8" s="2"/>
      <c r="R8" s="2"/>
      <c r="S8" s="2"/>
      <c r="T8" s="2"/>
      <c r="U8" s="2"/>
      <c r="V8" s="2"/>
      <c r="W8" s="2"/>
      <c r="X8" s="2"/>
      <c r="Y8" s="2"/>
      <c r="Z8" s="2"/>
      <c r="AA8" s="2"/>
      <c r="AB8" s="2"/>
      <c r="AC8" s="2"/>
      <c r="AD8" s="2"/>
      <c r="AE8" s="2"/>
      <c r="AF8" s="2"/>
      <c r="AG8" s="2"/>
      <c r="AH8" s="2"/>
      <c r="AI8" s="2"/>
      <c r="AJ8" s="2"/>
      <c r="AK8" s="2"/>
      <c r="AL8" s="2"/>
      <c r="AM8" s="2"/>
    </row>
    <row r="9" spans="1:45" ht="23.1" customHeight="1" thickTop="1" thickBot="1" x14ac:dyDescent="0.35">
      <c r="A9" s="2"/>
      <c r="B9" s="21" t="s">
        <v>549</v>
      </c>
      <c r="C9" s="75">
        <f>SUM('DRE + DCF'!M128:Q128)</f>
        <v>5863118.7886899272</v>
      </c>
      <c r="D9" s="24"/>
      <c r="E9" s="165"/>
      <c r="F9" s="97">
        <f t="shared" si="2"/>
        <v>19</v>
      </c>
      <c r="G9" s="157">
        <v>17.957822898344837</v>
      </c>
      <c r="H9" s="102">
        <v>17.062170184956198</v>
      </c>
      <c r="I9" s="102">
        <v>16.227922175940634</v>
      </c>
      <c r="J9" s="102">
        <v>15.449095662035255</v>
      </c>
      <c r="K9" s="102">
        <v>14.720457236792733</v>
      </c>
      <c r="L9" s="102">
        <v>14.037409497957773</v>
      </c>
      <c r="M9" s="102">
        <v>13.395897361128489</v>
      </c>
      <c r="N9" s="102">
        <v>12.792330457471476</v>
      </c>
      <c r="O9" s="158">
        <v>12.223518483667387</v>
      </c>
      <c r="P9" s="97"/>
      <c r="Q9" s="2"/>
      <c r="R9" s="2"/>
      <c r="S9" s="2"/>
      <c r="T9" s="2"/>
      <c r="U9" s="2"/>
      <c r="V9" s="2"/>
      <c r="W9" s="2"/>
      <c r="X9" s="2"/>
      <c r="Y9" s="2"/>
      <c r="Z9" s="2"/>
      <c r="AA9" s="2"/>
      <c r="AB9" s="2"/>
      <c r="AC9" s="2"/>
      <c r="AD9" s="2"/>
      <c r="AE9" s="2"/>
      <c r="AF9" s="2"/>
      <c r="AG9" s="2"/>
      <c r="AH9" s="2"/>
      <c r="AI9" s="2"/>
      <c r="AJ9" s="2"/>
      <c r="AK9" s="2"/>
      <c r="AL9" s="2"/>
      <c r="AM9" s="2"/>
    </row>
    <row r="10" spans="1:45" ht="23.1" customHeight="1" thickTop="1" thickBot="1" x14ac:dyDescent="0.35">
      <c r="A10" s="2"/>
      <c r="B10" s="63" t="s">
        <v>75</v>
      </c>
      <c r="C10" s="73">
        <f>'Balanço Patrimonial'!L44+'Balanço Patrimonial'!L51+'Balanço Patrimonial'!L56+'Balanço Patrimonial'!L62+'Balanço Patrimonial'!L67</f>
        <v>3161920</v>
      </c>
      <c r="D10" s="24"/>
      <c r="E10" s="165"/>
      <c r="F10" s="97">
        <f t="shared" si="2"/>
        <v>17</v>
      </c>
      <c r="G10" s="157">
        <v>17.794801813755555</v>
      </c>
      <c r="H10" s="102">
        <v>16.910982232328156</v>
      </c>
      <c r="I10" s="102">
        <v>16.087680494753446</v>
      </c>
      <c r="J10" s="102">
        <v>15.319001247672881</v>
      </c>
      <c r="K10" s="102">
        <v>14.599787897356521</v>
      </c>
      <c r="L10" s="102">
        <v>13.925510488008632</v>
      </c>
      <c r="M10" s="102">
        <v>13.292173395957951</v>
      </c>
      <c r="N10" s="102">
        <v>12.696238870867582</v>
      </c>
      <c r="O10" s="158">
        <v>12.134563338296365</v>
      </c>
      <c r="P10" s="97"/>
      <c r="Q10" s="2"/>
      <c r="R10" s="2"/>
      <c r="S10" s="2"/>
      <c r="T10" s="2"/>
      <c r="U10" s="2"/>
      <c r="V10" s="2"/>
      <c r="W10" s="2"/>
      <c r="X10" s="2"/>
      <c r="Y10" s="2"/>
      <c r="Z10" s="2"/>
      <c r="AA10" s="2"/>
      <c r="AB10" s="2"/>
      <c r="AC10" s="2"/>
      <c r="AD10" s="2"/>
      <c r="AE10" s="2"/>
      <c r="AF10" s="2"/>
      <c r="AG10" s="2"/>
      <c r="AH10" s="2"/>
      <c r="AI10" s="2"/>
      <c r="AJ10" s="2"/>
      <c r="AK10" s="2"/>
      <c r="AL10" s="2"/>
      <c r="AM10" s="2"/>
    </row>
    <row r="11" spans="1:45" ht="23.1" customHeight="1" thickTop="1" thickBot="1" x14ac:dyDescent="0.35">
      <c r="A11" s="2"/>
      <c r="B11" s="63" t="s">
        <v>542</v>
      </c>
      <c r="C11" s="73">
        <f>'Balanço Patrimonial'!L9+'Balanço Patrimonial'!L10+'Balanço Patrimonial'!L23+'Balanço Patrimonial'!L28-'Balanço Patrimonial'!L75</f>
        <v>913136.85851548077</v>
      </c>
      <c r="D11" s="24"/>
      <c r="E11" s="165"/>
      <c r="F11" s="97">
        <v>15</v>
      </c>
      <c r="G11" s="157">
        <v>17.632047477736581</v>
      </c>
      <c r="H11" s="102">
        <v>16.760048111724696</v>
      </c>
      <c r="I11" s="102">
        <v>15.947680655668375</v>
      </c>
      <c r="J11" s="102">
        <v>15.189137520967611</v>
      </c>
      <c r="K11" s="102">
        <v>14.479338846907149</v>
      </c>
      <c r="L11" s="102">
        <v>13.813822054153832</v>
      </c>
      <c r="M11" s="102">
        <v>13.188650918045571</v>
      </c>
      <c r="N11" s="102">
        <v>12.600340252111339</v>
      </c>
      <c r="O11" s="158">
        <v>12.045793162261413</v>
      </c>
      <c r="P11" s="100">
        <f>F11</f>
        <v>15</v>
      </c>
      <c r="Q11" s="2"/>
      <c r="R11" s="2"/>
      <c r="S11" s="2"/>
      <c r="T11" s="2"/>
      <c r="U11" s="2"/>
      <c r="V11" s="2"/>
      <c r="W11" s="2"/>
      <c r="X11" s="2"/>
      <c r="Y11" s="2"/>
      <c r="Z11" s="2"/>
      <c r="AA11" s="2"/>
      <c r="AB11" s="2"/>
      <c r="AC11" s="2"/>
      <c r="AD11" s="2"/>
      <c r="AE11" s="2"/>
      <c r="AF11" s="2"/>
      <c r="AG11" s="2"/>
      <c r="AH11" s="2"/>
      <c r="AI11" s="2"/>
      <c r="AJ11" s="2"/>
      <c r="AK11" s="2"/>
      <c r="AL11" s="2"/>
      <c r="AM11" s="2"/>
    </row>
    <row r="12" spans="1:45" ht="23.1" customHeight="1" thickTop="1" thickBot="1" x14ac:dyDescent="0.35">
      <c r="A12" s="2"/>
      <c r="B12" s="63" t="s">
        <v>543</v>
      </c>
      <c r="C12" s="73">
        <v>763700</v>
      </c>
      <c r="D12" s="24"/>
      <c r="E12" s="165"/>
      <c r="F12" s="97">
        <f>F11-2</f>
        <v>13</v>
      </c>
      <c r="G12" s="157">
        <v>17.469560774945219</v>
      </c>
      <c r="H12" s="102">
        <v>16.609368664966102</v>
      </c>
      <c r="I12" s="102">
        <v>15.807923460741762</v>
      </c>
      <c r="J12" s="102">
        <v>15.059505246982683</v>
      </c>
      <c r="K12" s="102">
        <v>14.35911081602122</v>
      </c>
      <c r="L12" s="102">
        <v>13.702344894757685</v>
      </c>
      <c r="M12" s="102">
        <v>13.085330595613025</v>
      </c>
      <c r="N12" s="102">
        <v>12.504635241170254</v>
      </c>
      <c r="O12" s="158">
        <v>11.957208569003406</v>
      </c>
      <c r="P12" s="97"/>
      <c r="Q12" s="2"/>
      <c r="R12" s="2"/>
      <c r="S12" s="2"/>
      <c r="T12" s="2"/>
      <c r="U12" s="2"/>
      <c r="V12" s="2"/>
      <c r="W12" s="2"/>
      <c r="X12" s="2"/>
      <c r="Y12" s="2"/>
      <c r="Z12" s="2"/>
      <c r="AA12" s="2"/>
      <c r="AB12" s="2"/>
      <c r="AC12" s="2"/>
      <c r="AD12" s="2"/>
      <c r="AE12" s="2"/>
      <c r="AF12" s="2"/>
      <c r="AG12" s="2"/>
      <c r="AH12" s="2"/>
      <c r="AI12" s="2"/>
      <c r="AJ12" s="2"/>
      <c r="AK12" s="2"/>
      <c r="AL12" s="2"/>
      <c r="AM12" s="2"/>
    </row>
    <row r="13" spans="1:45" ht="23.1" customHeight="1" thickTop="1" thickBot="1" x14ac:dyDescent="0.35">
      <c r="A13" s="2"/>
      <c r="B13" s="21" t="s">
        <v>548</v>
      </c>
      <c r="C13" s="75">
        <f>VALOR_FIRMA-C10+ATIVOS_NAO_OPERACIONAIS+CREDITOS_TRIBUTARIOS</f>
        <v>4378035.6472054077</v>
      </c>
      <c r="D13" s="24"/>
      <c r="E13" s="165"/>
      <c r="F13" s="97">
        <f t="shared" ref="F13:F15" si="3">F12-2</f>
        <v>11</v>
      </c>
      <c r="G13" s="157">
        <v>17.307342496449611</v>
      </c>
      <c r="H13" s="102">
        <v>16.458944644815261</v>
      </c>
      <c r="I13" s="102">
        <v>15.668409627179248</v>
      </c>
      <c r="J13" s="102">
        <v>14.930105109844169</v>
      </c>
      <c r="K13" s="102">
        <v>14.239104457986567</v>
      </c>
      <c r="L13" s="102">
        <v>13.591079634303533</v>
      </c>
      <c r="M13" s="102">
        <v>12.982213026189845</v>
      </c>
      <c r="N13" s="102">
        <v>12.40912441030874</v>
      </c>
      <c r="O13" s="158">
        <v>11.868810107066412</v>
      </c>
      <c r="P13" s="97"/>
      <c r="Q13" s="2"/>
      <c r="R13" s="2"/>
      <c r="S13" s="2"/>
      <c r="T13" s="2"/>
      <c r="U13" s="2"/>
      <c r="V13" s="2"/>
      <c r="W13" s="2"/>
      <c r="X13" s="2"/>
      <c r="Y13" s="2"/>
      <c r="Z13" s="2"/>
      <c r="AA13" s="2"/>
      <c r="AB13" s="2"/>
      <c r="AC13" s="2"/>
      <c r="AD13" s="2"/>
      <c r="AE13" s="2"/>
      <c r="AF13" s="2"/>
      <c r="AG13" s="2"/>
      <c r="AH13" s="2"/>
      <c r="AI13" s="2"/>
      <c r="AJ13" s="2"/>
      <c r="AK13" s="2"/>
      <c r="AL13" s="2"/>
      <c r="AM13" s="2"/>
    </row>
    <row r="14" spans="1:45" ht="23.1" customHeight="1" thickTop="1" thickBot="1" x14ac:dyDescent="0.35">
      <c r="A14" s="2"/>
      <c r="B14" s="21" t="s">
        <v>544</v>
      </c>
      <c r="C14" s="152">
        <f>VALOR_EQUITY/ACOES_EMITIDAS</f>
        <v>14.479338846907149</v>
      </c>
      <c r="D14" s="24"/>
      <c r="E14" s="165"/>
      <c r="F14" s="97">
        <f t="shared" si="3"/>
        <v>9</v>
      </c>
      <c r="G14" s="157">
        <v>17.145393327816695</v>
      </c>
      <c r="H14" s="102">
        <v>16.308776703642483</v>
      </c>
      <c r="I14" s="102">
        <v>15.529139776536004</v>
      </c>
      <c r="J14" s="102">
        <v>14.800937702439343</v>
      </c>
      <c r="K14" s="102">
        <v>14.119320338964981</v>
      </c>
      <c r="L14" s="102">
        <v>13.480026813990188</v>
      </c>
      <c r="M14" s="102">
        <v>12.879298727615748</v>
      </c>
      <c r="N14" s="102">
        <v>12.313808255470892</v>
      </c>
      <c r="O14" s="158">
        <v>11.780598251837663</v>
      </c>
      <c r="P14" s="97"/>
      <c r="Q14" s="2"/>
      <c r="R14" s="2"/>
      <c r="S14" s="2"/>
      <c r="T14" s="2"/>
      <c r="U14" s="2"/>
      <c r="V14" s="2"/>
      <c r="W14" s="2"/>
      <c r="X14" s="2"/>
      <c r="Y14" s="2"/>
      <c r="Z14" s="2"/>
      <c r="AA14" s="2"/>
      <c r="AB14" s="2"/>
      <c r="AC14" s="2"/>
      <c r="AD14" s="2"/>
      <c r="AE14" s="2"/>
      <c r="AF14" s="2"/>
      <c r="AG14" s="2"/>
      <c r="AH14" s="2"/>
      <c r="AI14" s="2"/>
      <c r="AJ14" s="2"/>
      <c r="AK14" s="2"/>
      <c r="AL14" s="2"/>
      <c r="AM14" s="2"/>
    </row>
    <row r="15" spans="1:45" ht="23.1" customHeight="1" thickTop="1" x14ac:dyDescent="0.3">
      <c r="A15" s="2"/>
      <c r="B15" s="21" t="s">
        <v>545</v>
      </c>
      <c r="C15" s="94">
        <v>11.37</v>
      </c>
      <c r="D15" s="24"/>
      <c r="E15" s="165"/>
      <c r="F15" s="97">
        <f t="shared" si="3"/>
        <v>7</v>
      </c>
      <c r="G15" s="159">
        <v>16.983713835823618</v>
      </c>
      <c r="H15" s="103">
        <v>16.158865380780327</v>
      </c>
      <c r="I15" s="103">
        <v>15.390114422668859</v>
      </c>
      <c r="J15" s="103">
        <v>14.672003514924508</v>
      </c>
      <c r="K15" s="103">
        <v>13.999758927018059</v>
      </c>
      <c r="L15" s="103">
        <v>13.369186881241671</v>
      </c>
      <c r="M15" s="103">
        <v>12.776588128003141</v>
      </c>
      <c r="N15" s="103">
        <v>12.218687186667401</v>
      </c>
      <c r="O15" s="160">
        <v>11.692573396332913</v>
      </c>
      <c r="P15" s="97"/>
      <c r="Q15" s="2"/>
      <c r="R15" s="2"/>
      <c r="S15" s="2"/>
      <c r="T15" s="2"/>
      <c r="U15" s="2"/>
      <c r="V15" s="2"/>
      <c r="W15" s="2"/>
      <c r="X15" s="2"/>
      <c r="Y15" s="2"/>
      <c r="Z15" s="2"/>
      <c r="AA15" s="2"/>
      <c r="AB15" s="2"/>
      <c r="AC15" s="2"/>
      <c r="AD15" s="2"/>
      <c r="AE15" s="2"/>
      <c r="AF15" s="2"/>
      <c r="AG15" s="2"/>
      <c r="AH15" s="2"/>
      <c r="AI15" s="2"/>
      <c r="AJ15" s="2"/>
      <c r="AK15" s="2"/>
      <c r="AL15" s="2"/>
      <c r="AM15" s="2"/>
    </row>
    <row r="16" spans="1:45" ht="23.1" customHeight="1" thickBot="1" x14ac:dyDescent="0.35">
      <c r="A16" s="2"/>
      <c r="B16" s="92" t="s">
        <v>546</v>
      </c>
      <c r="C16" s="93">
        <f>IFERROR(VALOR_ACAO/COTACAO-1,0)</f>
        <v>0.27346867606923042</v>
      </c>
      <c r="D16" s="24"/>
      <c r="E16" s="165"/>
      <c r="F16" s="98"/>
      <c r="G16" s="96">
        <f t="shared" ref="G16:I16" si="4">H16-0.005</f>
        <v>-0.02</v>
      </c>
      <c r="H16" s="96">
        <f t="shared" si="4"/>
        <v>-1.4999999999999999E-2</v>
      </c>
      <c r="I16" s="96">
        <f t="shared" si="4"/>
        <v>-0.01</v>
      </c>
      <c r="J16" s="96">
        <f>K16-0.005</f>
        <v>-5.0000000000000001E-3</v>
      </c>
      <c r="K16" s="96">
        <v>0</v>
      </c>
      <c r="L16" s="96">
        <f>K16+0.005</f>
        <v>5.0000000000000001E-3</v>
      </c>
      <c r="M16" s="96">
        <f t="shared" ref="M16:N16" si="5">L16+0.005</f>
        <v>0.01</v>
      </c>
      <c r="N16" s="96">
        <f t="shared" si="5"/>
        <v>1.4999999999999999E-2</v>
      </c>
      <c r="O16" s="96">
        <f>N16+0.005</f>
        <v>0.02</v>
      </c>
      <c r="P16" s="7"/>
      <c r="Q16" s="2"/>
      <c r="R16" s="2"/>
      <c r="S16" s="2"/>
      <c r="T16" s="2"/>
      <c r="U16" s="2"/>
      <c r="V16" s="2"/>
      <c r="W16" s="2"/>
      <c r="X16" s="2"/>
      <c r="Y16" s="2"/>
      <c r="Z16" s="2"/>
      <c r="AA16" s="2"/>
      <c r="AB16" s="2"/>
      <c r="AC16" s="2"/>
      <c r="AD16" s="2"/>
      <c r="AE16" s="2"/>
      <c r="AF16" s="2"/>
      <c r="AG16" s="2"/>
      <c r="AH16" s="2"/>
      <c r="AI16" s="2"/>
      <c r="AJ16" s="2"/>
      <c r="AK16" s="2"/>
      <c r="AL16" s="2"/>
      <c r="AM16" s="2"/>
    </row>
    <row r="17" spans="1:39" ht="23.1" customHeight="1" x14ac:dyDescent="0.3">
      <c r="A17" s="2"/>
      <c r="B17" s="21" t="s">
        <v>962</v>
      </c>
      <c r="C17" s="163">
        <v>0.30086078200821698</v>
      </c>
      <c r="D17" s="24"/>
      <c r="E17" s="2"/>
      <c r="F17" s="2"/>
      <c r="G17" s="166" t="s">
        <v>961</v>
      </c>
      <c r="H17" s="166"/>
      <c r="I17" s="166"/>
      <c r="J17" s="166"/>
      <c r="K17" s="166"/>
      <c r="L17" s="166"/>
      <c r="M17" s="166"/>
      <c r="N17" s="166"/>
      <c r="O17" s="166"/>
      <c r="P17" s="95"/>
      <c r="Q17" s="2"/>
      <c r="R17" s="2"/>
      <c r="S17" s="2"/>
      <c r="T17" s="2"/>
      <c r="U17" s="2"/>
      <c r="V17" s="2"/>
      <c r="W17" s="2"/>
      <c r="X17" s="2"/>
      <c r="Y17" s="2"/>
      <c r="Z17" s="2"/>
      <c r="AA17" s="2"/>
      <c r="AB17" s="2"/>
      <c r="AC17" s="2"/>
      <c r="AD17" s="2"/>
      <c r="AE17" s="2"/>
      <c r="AF17" s="2"/>
      <c r="AG17" s="2"/>
      <c r="AH17" s="2"/>
      <c r="AI17" s="2"/>
      <c r="AJ17" s="2"/>
      <c r="AK17" s="2"/>
      <c r="AL17" s="2"/>
      <c r="AM17" s="2"/>
    </row>
    <row r="18" spans="1:39" ht="23.1" customHeight="1" x14ac:dyDescent="0.3">
      <c r="A18" s="2"/>
      <c r="B18" s="8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row>
    <row r="19" spans="1:39" ht="23.1"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row>
    <row r="20" spans="1:39" ht="23.1" customHeight="1" x14ac:dyDescent="0.3">
      <c r="A20" s="2"/>
      <c r="B20" s="2"/>
      <c r="C20" s="89"/>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row>
    <row r="21" spans="1:39" ht="18"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row>
    <row r="22" spans="1:39" ht="18"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row>
    <row r="23" spans="1:39" ht="18"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row>
    <row r="24" spans="1:39" ht="18"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row>
    <row r="25" spans="1:39" ht="18"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row>
    <row r="26" spans="1:39" ht="18"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row>
    <row r="27" spans="1:39" ht="18"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row>
    <row r="28" spans="1:39" ht="18"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row>
    <row r="29" spans="1:39" ht="18"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row>
    <row r="30" spans="1:39" ht="18"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row>
    <row r="31" spans="1:39" ht="18"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row>
    <row r="32" spans="1:39" ht="18"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row>
    <row r="33" spans="1:39" ht="18"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row>
    <row r="34" spans="1:39" ht="18"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row>
    <row r="35" spans="1:39" ht="18"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row>
    <row r="36" spans="1:39" ht="18"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row>
    <row r="37" spans="1:39" ht="18"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row>
    <row r="38" spans="1:39" ht="18"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row>
    <row r="39" spans="1:39" ht="18"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row>
    <row r="40" spans="1:39" ht="18"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row>
    <row r="41" spans="1:39" ht="18"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row>
    <row r="42" spans="1:39" ht="18"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row>
    <row r="43" spans="1:39" ht="18"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row>
    <row r="44" spans="1:39" ht="18"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row>
    <row r="45" spans="1:39" ht="18"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row>
    <row r="46" spans="1:39" ht="18"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row>
    <row r="47" spans="1:39" ht="18"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row>
    <row r="48" spans="1:39" ht="18"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row>
    <row r="49" spans="1:39" ht="18"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row>
    <row r="50" spans="1:39" ht="18"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row>
    <row r="51" spans="1:39" ht="18"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row>
    <row r="52" spans="1:39" ht="18"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row>
    <row r="53" spans="1:39" ht="18"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row>
    <row r="54" spans="1:39" ht="18"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row>
    <row r="55" spans="1:39" ht="18"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row>
    <row r="56" spans="1:39" ht="18"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row>
    <row r="57" spans="1:39" ht="18"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row>
    <row r="58" spans="1:39" ht="18"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row>
    <row r="59" spans="1:39" ht="18"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row>
    <row r="60" spans="1:39" ht="18"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row>
    <row r="61" spans="1:39" ht="18"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row>
    <row r="62" spans="1:39" ht="18"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row>
    <row r="63" spans="1:39" ht="18"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row>
  </sheetData>
  <mergeCells count="3">
    <mergeCell ref="E7:E16"/>
    <mergeCell ref="G17:O17"/>
    <mergeCell ref="B6:C6"/>
  </mergeCells>
  <conditionalFormatting sqref="B10:B12">
    <cfRule type="cellIs" dxfId="17" priority="13" operator="equal">
      <formula>0</formula>
    </cfRule>
  </conditionalFormatting>
  <conditionalFormatting sqref="C8:C9">
    <cfRule type="cellIs" dxfId="16" priority="10" operator="equal">
      <formula>0</formula>
    </cfRule>
  </conditionalFormatting>
  <conditionalFormatting sqref="C13:C14">
    <cfRule type="cellIs" dxfId="15" priority="9" operator="equal">
      <formula>0</formula>
    </cfRule>
  </conditionalFormatting>
  <conditionalFormatting sqref="C16:C17">
    <cfRule type="cellIs" dxfId="14" priority="8" operator="lessThanOrEqual">
      <formula>0</formula>
    </cfRule>
    <cfRule type="cellIs" dxfId="13" priority="11" operator="greaterThan">
      <formula>0</formula>
    </cfRule>
  </conditionalFormatting>
  <conditionalFormatting sqref="G7:O15">
    <cfRule type="colorScale" priority="1">
      <colorScale>
        <cfvo type="min"/>
        <cfvo type="num" val="$C$15"/>
        <cfvo type="max"/>
        <color rgb="FF920000"/>
        <color rgb="FFD3D3D3"/>
        <color rgb="FF43AF43"/>
      </colorScale>
    </cfRule>
  </conditionalFormatting>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42FEE-B4C3-4585-83CB-7CABBE79D156}">
  <sheetPr codeName="Planilha2"/>
  <dimension ref="A1:E34"/>
  <sheetViews>
    <sheetView workbookViewId="0"/>
  </sheetViews>
  <sheetFormatPr defaultRowHeight="14.4" x14ac:dyDescent="0.3"/>
  <cols>
    <col min="1" max="5" width="36.6640625" customWidth="1"/>
  </cols>
  <sheetData>
    <row r="1" spans="1:5" x14ac:dyDescent="0.3">
      <c r="A1" s="104" t="s">
        <v>560</v>
      </c>
    </row>
    <row r="3" spans="1:5" x14ac:dyDescent="0.3">
      <c r="A3" t="s">
        <v>561</v>
      </c>
      <c r="B3" t="s">
        <v>562</v>
      </c>
      <c r="C3">
        <v>0</v>
      </c>
    </row>
    <row r="4" spans="1:5" x14ac:dyDescent="0.3">
      <c r="A4" t="s">
        <v>563</v>
      </c>
    </row>
    <row r="5" spans="1:5" x14ac:dyDescent="0.3">
      <c r="A5" t="s">
        <v>564</v>
      </c>
    </row>
    <row r="7" spans="1:5" x14ac:dyDescent="0.3">
      <c r="A7" s="104" t="s">
        <v>565</v>
      </c>
      <c r="B7" t="s">
        <v>566</v>
      </c>
    </row>
    <row r="8" spans="1:5" x14ac:dyDescent="0.3">
      <c r="B8">
        <v>5</v>
      </c>
    </row>
    <row r="10" spans="1:5" x14ac:dyDescent="0.3">
      <c r="A10" t="s">
        <v>567</v>
      </c>
    </row>
    <row r="11" spans="1:5" x14ac:dyDescent="0.3">
      <c r="A11" t="e">
        <f>CB_DATA_!#REF!</f>
        <v>#REF!</v>
      </c>
      <c r="B11" t="e">
        <f>'DRE + DCF'!#REF!</f>
        <v>#REF!</v>
      </c>
      <c r="C11" t="e">
        <f>'Projeções - Receita Financeira'!#REF!</f>
        <v>#REF!</v>
      </c>
      <c r="D11" t="e">
        <f>'Projeções - Receita Varejo'!#REF!</f>
        <v>#REF!</v>
      </c>
      <c r="E11" t="e">
        <f>Dashboard!#REF!</f>
        <v>#REF!</v>
      </c>
    </row>
    <row r="13" spans="1:5" x14ac:dyDescent="0.3">
      <c r="A13" t="s">
        <v>568</v>
      </c>
    </row>
    <row r="14" spans="1:5" x14ac:dyDescent="0.3">
      <c r="A14" t="s">
        <v>572</v>
      </c>
      <c r="B14" t="s">
        <v>576</v>
      </c>
      <c r="C14" t="s">
        <v>578</v>
      </c>
      <c r="D14" t="s">
        <v>581</v>
      </c>
      <c r="E14" t="s">
        <v>585</v>
      </c>
    </row>
    <row r="16" spans="1:5" x14ac:dyDescent="0.3">
      <c r="A16" t="s">
        <v>569</v>
      </c>
    </row>
    <row r="19" spans="1:5" x14ac:dyDescent="0.3">
      <c r="A19" t="s">
        <v>570</v>
      </c>
    </row>
    <row r="20" spans="1:5" x14ac:dyDescent="0.3">
      <c r="A20">
        <v>34</v>
      </c>
      <c r="B20">
        <v>31</v>
      </c>
      <c r="C20">
        <v>31</v>
      </c>
      <c r="D20">
        <v>31</v>
      </c>
      <c r="E20">
        <v>31</v>
      </c>
    </row>
    <row r="25" spans="1:5" x14ac:dyDescent="0.3">
      <c r="A25" s="104" t="s">
        <v>571</v>
      </c>
    </row>
    <row r="26" spans="1:5" x14ac:dyDescent="0.3">
      <c r="A26" s="105" t="s">
        <v>573</v>
      </c>
      <c r="B26" s="105" t="s">
        <v>577</v>
      </c>
      <c r="C26" s="105" t="s">
        <v>577</v>
      </c>
      <c r="D26" s="105" t="s">
        <v>577</v>
      </c>
      <c r="E26" s="105" t="s">
        <v>577</v>
      </c>
    </row>
    <row r="27" spans="1:5" x14ac:dyDescent="0.3">
      <c r="A27" t="s">
        <v>574</v>
      </c>
      <c r="B27" t="s">
        <v>591</v>
      </c>
      <c r="C27" t="s">
        <v>580</v>
      </c>
      <c r="D27" t="s">
        <v>583</v>
      </c>
      <c r="E27" t="s">
        <v>592</v>
      </c>
    </row>
    <row r="28" spans="1:5" x14ac:dyDescent="0.3">
      <c r="A28" s="105" t="s">
        <v>575</v>
      </c>
      <c r="B28" s="105" t="s">
        <v>575</v>
      </c>
      <c r="C28" s="105" t="s">
        <v>575</v>
      </c>
      <c r="D28" s="105" t="s">
        <v>575</v>
      </c>
      <c r="E28" s="105" t="s">
        <v>575</v>
      </c>
    </row>
    <row r="29" spans="1:5" x14ac:dyDescent="0.3">
      <c r="A29" s="105" t="s">
        <v>577</v>
      </c>
      <c r="B29" s="105" t="s">
        <v>573</v>
      </c>
      <c r="C29" s="105" t="s">
        <v>573</v>
      </c>
      <c r="D29" s="105" t="s">
        <v>573</v>
      </c>
      <c r="E29" s="105" t="s">
        <v>573</v>
      </c>
    </row>
    <row r="30" spans="1:5" x14ac:dyDescent="0.3">
      <c r="A30" t="s">
        <v>590</v>
      </c>
      <c r="B30" t="s">
        <v>584</v>
      </c>
      <c r="C30" t="s">
        <v>579</v>
      </c>
      <c r="D30" t="s">
        <v>582</v>
      </c>
      <c r="E30" t="s">
        <v>586</v>
      </c>
    </row>
    <row r="31" spans="1:5" x14ac:dyDescent="0.3">
      <c r="A31" s="105" t="s">
        <v>575</v>
      </c>
      <c r="B31" s="105" t="s">
        <v>575</v>
      </c>
      <c r="C31" s="105" t="s">
        <v>575</v>
      </c>
      <c r="D31" s="105" t="s">
        <v>575</v>
      </c>
      <c r="E31" s="105" t="s">
        <v>575</v>
      </c>
    </row>
    <row r="32" spans="1:5" x14ac:dyDescent="0.3">
      <c r="A32" s="105" t="s">
        <v>587</v>
      </c>
    </row>
    <row r="33" spans="1:1" x14ac:dyDescent="0.3">
      <c r="A33" t="s">
        <v>589</v>
      </c>
    </row>
    <row r="34" spans="1:1" x14ac:dyDescent="0.3">
      <c r="A34" s="105" t="s">
        <v>588</v>
      </c>
    </row>
  </sheetData>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83BF7-2CF8-43E6-A676-0078DE42D546}">
  <sheetPr codeName="Planilha3"/>
  <dimension ref="A1:AW116"/>
  <sheetViews>
    <sheetView showGridLines="0" zoomScale="85" zoomScaleNormal="85" workbookViewId="0">
      <pane xSplit="2" ySplit="4" topLeftCell="C5" activePane="bottomRight" state="frozen"/>
      <selection pane="topRight" activeCell="C1" sqref="C1"/>
      <selection pane="bottomLeft" activeCell="A5" sqref="A5"/>
      <selection pane="bottomRight"/>
    </sheetView>
  </sheetViews>
  <sheetFormatPr defaultColWidth="9" defaultRowHeight="14.4" x14ac:dyDescent="0.3"/>
  <cols>
    <col min="1" max="1" width="19.109375" style="3" customWidth="1"/>
    <col min="2" max="2" width="41.33203125" style="3" customWidth="1"/>
    <col min="3" max="3" width="17" style="8" customWidth="1"/>
    <col min="4" max="13" width="14" style="8" customWidth="1"/>
    <col min="14" max="15" width="9.88671875" style="8" bestFit="1" customWidth="1"/>
    <col min="16" max="16" width="22.5546875" style="8" bestFit="1" customWidth="1"/>
    <col min="17" max="17" width="19.33203125" style="8" bestFit="1" customWidth="1"/>
    <col min="18" max="18" width="10.109375" style="8" bestFit="1" customWidth="1"/>
    <col min="19" max="19" width="9.88671875" style="8" bestFit="1" customWidth="1"/>
    <col min="20" max="20" width="11.6640625" style="3" bestFit="1" customWidth="1"/>
    <col min="21" max="21" width="15.109375" style="3" bestFit="1" customWidth="1"/>
    <col min="22" max="16384" width="9" style="3"/>
  </cols>
  <sheetData>
    <row r="1" spans="1:49" x14ac:dyDescent="0.3">
      <c r="A1" s="1"/>
      <c r="B1" s="1"/>
      <c r="C1" s="2"/>
      <c r="D1" s="2"/>
      <c r="E1" s="2"/>
      <c r="F1" s="2"/>
      <c r="G1" s="2"/>
      <c r="H1" s="2"/>
      <c r="I1" s="2"/>
      <c r="J1" s="2"/>
      <c r="K1" s="2"/>
      <c r="L1" s="2"/>
      <c r="M1" s="2"/>
      <c r="N1" s="2"/>
      <c r="O1" s="2"/>
      <c r="P1" s="2"/>
      <c r="Q1" s="2"/>
      <c r="R1" s="2"/>
      <c r="S1" s="2"/>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2"/>
      <c r="D2" s="2"/>
      <c r="E2" s="2"/>
      <c r="F2" s="2"/>
      <c r="G2" s="2"/>
      <c r="H2" s="2"/>
      <c r="I2" s="2"/>
      <c r="J2" s="2"/>
      <c r="K2" s="2"/>
      <c r="L2" s="2"/>
      <c r="M2" s="2"/>
      <c r="N2" s="2"/>
      <c r="O2" s="2"/>
      <c r="P2" s="2"/>
      <c r="Q2" s="2"/>
      <c r="R2" s="2"/>
      <c r="S2" s="2"/>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37.200000000000003" customHeight="1" x14ac:dyDescent="0.3">
      <c r="A3" s="1"/>
      <c r="B3" s="1"/>
      <c r="C3" s="2"/>
      <c r="D3" s="2"/>
      <c r="E3" s="2"/>
      <c r="F3" s="2"/>
      <c r="G3" s="2"/>
      <c r="H3" s="2"/>
      <c r="I3" s="2"/>
      <c r="J3" s="2"/>
      <c r="K3" s="2"/>
      <c r="L3" s="2"/>
      <c r="M3" s="2"/>
      <c r="N3" s="2"/>
      <c r="O3" s="2"/>
      <c r="P3" s="2"/>
      <c r="Q3" s="2"/>
      <c r="R3" s="2"/>
      <c r="S3" s="2"/>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15" thickBot="1" x14ac:dyDescent="0.35">
      <c r="A4" s="1"/>
      <c r="B4" s="1"/>
      <c r="C4" s="16">
        <v>2016</v>
      </c>
      <c r="D4" s="16">
        <f>C4+1</f>
        <v>2017</v>
      </c>
      <c r="E4" s="16">
        <f t="shared" ref="E4:K4" si="0">D4+1</f>
        <v>2018</v>
      </c>
      <c r="F4" s="16">
        <f t="shared" si="0"/>
        <v>2019</v>
      </c>
      <c r="G4" s="16">
        <f t="shared" si="0"/>
        <v>2020</v>
      </c>
      <c r="H4" s="16">
        <f t="shared" si="0"/>
        <v>2021</v>
      </c>
      <c r="I4" s="16">
        <f t="shared" si="0"/>
        <v>2022</v>
      </c>
      <c r="J4" s="16">
        <f t="shared" si="0"/>
        <v>2023</v>
      </c>
      <c r="K4" s="16">
        <f t="shared" si="0"/>
        <v>2024</v>
      </c>
      <c r="L4" s="16">
        <v>2025</v>
      </c>
      <c r="M4" s="2"/>
      <c r="N4" s="2"/>
      <c r="O4" s="2"/>
      <c r="P4" s="2"/>
      <c r="Q4" s="2"/>
      <c r="R4" s="2"/>
      <c r="S4" s="2"/>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x14ac:dyDescent="0.3">
      <c r="A5" s="1"/>
      <c r="B5" s="48" t="s">
        <v>8</v>
      </c>
      <c r="C5" s="47">
        <f>C6+C21</f>
        <v>3631176</v>
      </c>
      <c r="D5" s="47">
        <f t="shared" ref="D5:L5" si="1">D6+D21</f>
        <v>3394299</v>
      </c>
      <c r="E5" s="47">
        <f t="shared" si="1"/>
        <v>3478337</v>
      </c>
      <c r="F5" s="47">
        <f t="shared" si="1"/>
        <v>6037092</v>
      </c>
      <c r="G5" s="47">
        <f t="shared" si="1"/>
        <v>7309647</v>
      </c>
      <c r="H5" s="47">
        <f t="shared" si="1"/>
        <v>8672626</v>
      </c>
      <c r="I5" s="47">
        <f t="shared" si="1"/>
        <v>9629594</v>
      </c>
      <c r="J5" s="47">
        <f t="shared" si="1"/>
        <v>9725565</v>
      </c>
      <c r="K5" s="47">
        <f t="shared" si="1"/>
        <v>10053899</v>
      </c>
      <c r="L5" s="47">
        <f t="shared" si="1"/>
        <v>9318633</v>
      </c>
      <c r="M5" s="2"/>
      <c r="N5" s="2"/>
      <c r="O5" s="2"/>
      <c r="P5" s="2"/>
      <c r="Q5" s="2"/>
      <c r="R5" s="2"/>
      <c r="S5" s="2"/>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x14ac:dyDescent="0.3">
      <c r="A6" s="1"/>
      <c r="B6" s="19" t="s">
        <v>2</v>
      </c>
      <c r="C6" s="27">
        <f>C7+C11+C13+C14+C16</f>
        <v>2144643</v>
      </c>
      <c r="D6" s="27">
        <f t="shared" ref="D6:H6" si="2">D7+D11+D13+D14+D16</f>
        <v>2125587</v>
      </c>
      <c r="E6" s="27">
        <f t="shared" si="2"/>
        <v>2195569</v>
      </c>
      <c r="F6" s="27">
        <f t="shared" si="2"/>
        <v>2999575</v>
      </c>
      <c r="G6" s="27">
        <f t="shared" si="2"/>
        <v>3519978</v>
      </c>
      <c r="H6" s="27">
        <f t="shared" si="2"/>
        <v>3929358</v>
      </c>
      <c r="I6" s="27">
        <f>I7+I11+I13+I14+I16+I10</f>
        <v>4753223</v>
      </c>
      <c r="J6" s="27">
        <f t="shared" ref="J6:L6" si="3">J7+J11+J13+J14+J16+J10</f>
        <v>4441842</v>
      </c>
      <c r="K6" s="27">
        <f t="shared" si="3"/>
        <v>4993393</v>
      </c>
      <c r="L6" s="27">
        <f t="shared" si="3"/>
        <v>4559829</v>
      </c>
      <c r="M6" s="2"/>
      <c r="N6" s="2"/>
      <c r="O6" s="2"/>
      <c r="P6" s="2"/>
      <c r="Q6" s="2"/>
      <c r="R6" s="2"/>
      <c r="S6" s="2"/>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row>
    <row r="7" spans="1:49" x14ac:dyDescent="0.3">
      <c r="A7" s="1"/>
      <c r="B7" s="13" t="s">
        <v>940</v>
      </c>
      <c r="C7" s="24">
        <v>489705</v>
      </c>
      <c r="D7" s="24">
        <v>431759</v>
      </c>
      <c r="E7" s="24">
        <v>446006</v>
      </c>
      <c r="F7" s="24">
        <v>447109</v>
      </c>
      <c r="G7" s="24">
        <v>1509159</v>
      </c>
      <c r="H7" s="24">
        <v>1050251</v>
      </c>
      <c r="I7" s="24">
        <v>1674091</v>
      </c>
      <c r="J7" s="24">
        <v>1155588</v>
      </c>
      <c r="K7" s="24">
        <v>1403225</v>
      </c>
      <c r="L7" s="24">
        <v>774521</v>
      </c>
      <c r="M7" s="2"/>
      <c r="N7" s="2"/>
      <c r="O7" s="2"/>
      <c r="P7" s="2"/>
      <c r="Q7" s="2"/>
      <c r="R7" s="2"/>
      <c r="S7" s="2"/>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row>
    <row r="8" spans="1:49" x14ac:dyDescent="0.3">
      <c r="A8" s="1"/>
      <c r="B8" s="144" t="s">
        <v>4</v>
      </c>
      <c r="C8" s="143">
        <f>(-'DRE + DCF'!C14-'DRE + DCF'!C23-'DRE + DCF'!C95)/24</f>
        <v>196789.375</v>
      </c>
      <c r="D8" s="143">
        <f>(-'DRE + DCF'!D14-'DRE + DCF'!D23-'DRE + DCF'!D95)/24</f>
        <v>198442.20833333334</v>
      </c>
      <c r="E8" s="143">
        <f>(-'DRE + DCF'!E14-'DRE + DCF'!E23-'DRE + DCF'!E95)/24</f>
        <v>200913.66666666666</v>
      </c>
      <c r="F8" s="143">
        <f>(-'DRE + DCF'!F14-'DRE + DCF'!F23-'DRE + DCF'!F95)/24</f>
        <v>194499.66666666666</v>
      </c>
      <c r="G8" s="143">
        <f>(-'DRE + DCF'!G14-'DRE + DCF'!G23-'DRE + DCF'!G95)/24</f>
        <v>173032.95833333334</v>
      </c>
      <c r="H8" s="143">
        <f>(-'DRE + DCF'!H14-'DRE + DCF'!H23-'DRE + DCF'!H95)/24</f>
        <v>197077.5</v>
      </c>
      <c r="I8" s="143">
        <f>(-'DRE + DCF'!I14-'DRE + DCF'!I23-'DRE + DCF'!I95)/24</f>
        <v>244278.04166666666</v>
      </c>
      <c r="J8" s="143">
        <f>(-'DRE + DCF'!J14-'DRE + DCF'!J23-'DRE + DCF'!J95)/24</f>
        <v>262354.16666666669</v>
      </c>
      <c r="K8" s="143">
        <f>(-'DRE + DCF'!K14-'DRE + DCF'!K23-'DRE + DCF'!K95)/24</f>
        <v>286988.98404714209</v>
      </c>
      <c r="L8" s="143">
        <f>(-'DRE + DCF'!L14-'DRE + DCF'!L23-'DRE + DCF'!L95)/24</f>
        <v>303898.14148451918</v>
      </c>
      <c r="M8" s="2"/>
      <c r="N8" s="2"/>
      <c r="O8" s="2"/>
      <c r="P8" s="2"/>
      <c r="Q8" s="2"/>
      <c r="R8" s="2"/>
      <c r="S8" s="2"/>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row>
    <row r="9" spans="1:49" x14ac:dyDescent="0.3">
      <c r="A9" s="1"/>
      <c r="B9" s="144" t="s">
        <v>941</v>
      </c>
      <c r="C9" s="143">
        <f t="shared" ref="C9:L9" si="4">C7+C10-C8</f>
        <v>292915.625</v>
      </c>
      <c r="D9" s="143">
        <f t="shared" si="4"/>
        <v>233316.79166666666</v>
      </c>
      <c r="E9" s="143">
        <f t="shared" si="4"/>
        <v>245092.33333333334</v>
      </c>
      <c r="F9" s="143">
        <f t="shared" si="4"/>
        <v>252609.33333333334</v>
      </c>
      <c r="G9" s="143">
        <f t="shared" si="4"/>
        <v>1336126.0416666667</v>
      </c>
      <c r="H9" s="143">
        <f t="shared" si="4"/>
        <v>853173.5</v>
      </c>
      <c r="I9" s="143">
        <f t="shared" si="4"/>
        <v>1438547.9583333333</v>
      </c>
      <c r="J9" s="143">
        <f t="shared" si="4"/>
        <v>1084820.8333333333</v>
      </c>
      <c r="K9" s="143">
        <f t="shared" si="4"/>
        <v>1285546.0159528579</v>
      </c>
      <c r="L9" s="143">
        <f t="shared" si="4"/>
        <v>739476.85851548077</v>
      </c>
      <c r="M9" s="2"/>
      <c r="N9" s="2"/>
      <c r="O9" s="2"/>
      <c r="P9" s="2"/>
      <c r="Q9" s="2"/>
      <c r="R9" s="2"/>
      <c r="S9" s="2"/>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row>
    <row r="10" spans="1:49" x14ac:dyDescent="0.3">
      <c r="A10" s="1"/>
      <c r="B10" s="13" t="s">
        <v>3</v>
      </c>
      <c r="C10" s="24">
        <v>0</v>
      </c>
      <c r="D10" s="24">
        <v>0</v>
      </c>
      <c r="E10" s="24">
        <v>0</v>
      </c>
      <c r="F10" s="24">
        <v>0</v>
      </c>
      <c r="G10" s="24">
        <v>0</v>
      </c>
      <c r="H10" s="24">
        <v>0</v>
      </c>
      <c r="I10" s="24">
        <v>8735</v>
      </c>
      <c r="J10" s="24">
        <v>191587</v>
      </c>
      <c r="K10" s="24">
        <v>169310</v>
      </c>
      <c r="L10" s="24">
        <v>268854</v>
      </c>
      <c r="M10" s="2"/>
      <c r="N10" s="2"/>
      <c r="O10" s="2"/>
      <c r="P10" s="2"/>
      <c r="Q10" s="2"/>
      <c r="R10" s="2"/>
      <c r="S10" s="2"/>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row>
    <row r="11" spans="1:49" x14ac:dyDescent="0.3">
      <c r="A11" s="1"/>
      <c r="B11" s="13" t="s">
        <v>5</v>
      </c>
      <c r="C11" s="24">
        <v>1013011</v>
      </c>
      <c r="D11" s="24">
        <v>1070690</v>
      </c>
      <c r="E11" s="24">
        <v>1142836</v>
      </c>
      <c r="F11" s="24">
        <v>1151484</v>
      </c>
      <c r="G11" s="24">
        <v>1063844</v>
      </c>
      <c r="H11" s="24">
        <v>1145336</v>
      </c>
      <c r="I11" s="24">
        <v>1278206</v>
      </c>
      <c r="J11" s="24">
        <v>1778456</v>
      </c>
      <c r="K11" s="24">
        <v>1862821</v>
      </c>
      <c r="L11" s="24">
        <v>1753283</v>
      </c>
      <c r="M11" s="2"/>
      <c r="N11" s="2"/>
      <c r="O11" s="2"/>
      <c r="P11" s="2"/>
      <c r="Q11" s="2"/>
      <c r="R11" s="2"/>
      <c r="S11" s="2"/>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row>
    <row r="12" spans="1:49" x14ac:dyDescent="0.3">
      <c r="A12" s="1"/>
      <c r="B12" s="17" t="s">
        <v>942</v>
      </c>
      <c r="C12" s="24">
        <v>1013011</v>
      </c>
      <c r="D12" s="24">
        <v>1070690</v>
      </c>
      <c r="E12" s="24">
        <v>1142836</v>
      </c>
      <c r="F12" s="24">
        <v>1151484</v>
      </c>
      <c r="G12" s="24">
        <v>1063844</v>
      </c>
      <c r="H12" s="24">
        <v>1145336</v>
      </c>
      <c r="I12" s="24">
        <v>1278206</v>
      </c>
      <c r="J12" s="24">
        <v>1778456</v>
      </c>
      <c r="K12" s="24">
        <v>1862821</v>
      </c>
      <c r="L12" s="24">
        <v>1753283</v>
      </c>
      <c r="M12" s="2"/>
      <c r="N12" s="2"/>
      <c r="O12" s="2"/>
      <c r="P12" s="2"/>
      <c r="Q12" s="2"/>
      <c r="R12" s="2"/>
      <c r="S12" s="2"/>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row>
    <row r="13" spans="1:49" x14ac:dyDescent="0.3">
      <c r="A13" s="1"/>
      <c r="B13" s="13" t="s">
        <v>6</v>
      </c>
      <c r="C13" s="24">
        <v>536579</v>
      </c>
      <c r="D13" s="24">
        <v>479427</v>
      </c>
      <c r="E13" s="24">
        <v>490614</v>
      </c>
      <c r="F13" s="24">
        <v>544717</v>
      </c>
      <c r="G13" s="24">
        <v>641020</v>
      </c>
      <c r="H13" s="24">
        <v>849269</v>
      </c>
      <c r="I13" s="24">
        <v>852033</v>
      </c>
      <c r="J13" s="24">
        <v>875155</v>
      </c>
      <c r="K13" s="24">
        <v>1032231</v>
      </c>
      <c r="L13" s="24">
        <v>1154866</v>
      </c>
      <c r="M13" s="2"/>
      <c r="N13" s="2"/>
      <c r="O13" s="2"/>
      <c r="P13" s="2"/>
      <c r="Q13" s="2"/>
      <c r="R13" s="2"/>
      <c r="S13" s="2"/>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row>
    <row r="14" spans="1:49" x14ac:dyDescent="0.3">
      <c r="A14" s="1"/>
      <c r="B14" s="13" t="s">
        <v>7</v>
      </c>
      <c r="C14" s="24">
        <v>55725</v>
      </c>
      <c r="D14" s="24">
        <v>72877</v>
      </c>
      <c r="E14" s="24">
        <v>42847</v>
      </c>
      <c r="F14" s="24">
        <v>833649</v>
      </c>
      <c r="G14" s="24">
        <v>282660</v>
      </c>
      <c r="H14" s="24">
        <v>849115</v>
      </c>
      <c r="I14" s="24">
        <v>899433</v>
      </c>
      <c r="J14" s="24">
        <v>388451</v>
      </c>
      <c r="K14" s="24">
        <v>470354</v>
      </c>
      <c r="L14" s="24">
        <v>569544</v>
      </c>
      <c r="M14" s="2"/>
      <c r="N14" s="151"/>
      <c r="O14" s="2"/>
      <c r="P14" s="2"/>
      <c r="Q14" s="2"/>
      <c r="R14" s="2"/>
      <c r="S14" s="2"/>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row>
    <row r="15" spans="1:49" x14ac:dyDescent="0.3">
      <c r="A15" s="1"/>
      <c r="B15" s="17" t="s">
        <v>943</v>
      </c>
      <c r="C15" s="24">
        <v>55725</v>
      </c>
      <c r="D15" s="24">
        <v>7287</v>
      </c>
      <c r="E15" s="24">
        <v>42847</v>
      </c>
      <c r="F15" s="24">
        <v>833649</v>
      </c>
      <c r="G15" s="24">
        <v>282660</v>
      </c>
      <c r="H15" s="24">
        <v>849115</v>
      </c>
      <c r="I15" s="24">
        <v>899433</v>
      </c>
      <c r="J15" s="24">
        <v>388451</v>
      </c>
      <c r="K15" s="24">
        <v>470354</v>
      </c>
      <c r="L15" s="24">
        <v>569544</v>
      </c>
      <c r="M15" s="2"/>
      <c r="N15" s="2"/>
      <c r="O15" s="2"/>
      <c r="P15" s="2"/>
      <c r="Q15" s="2"/>
      <c r="R15" s="2"/>
      <c r="S15" s="2"/>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row>
    <row r="16" spans="1:49" x14ac:dyDescent="0.3">
      <c r="A16" s="1"/>
      <c r="B16" s="13" t="s">
        <v>78</v>
      </c>
      <c r="C16" s="24">
        <v>49623</v>
      </c>
      <c r="D16" s="24">
        <v>70834</v>
      </c>
      <c r="E16" s="24">
        <v>73266</v>
      </c>
      <c r="F16" s="24">
        <v>22616</v>
      </c>
      <c r="G16" s="24">
        <v>23295</v>
      </c>
      <c r="H16" s="24">
        <v>35387</v>
      </c>
      <c r="I16" s="24">
        <v>40725</v>
      </c>
      <c r="J16" s="24">
        <v>52605</v>
      </c>
      <c r="K16" s="24">
        <v>55452</v>
      </c>
      <c r="L16" s="24">
        <f>L17</f>
        <v>38761</v>
      </c>
      <c r="M16" s="2"/>
      <c r="N16" s="2"/>
      <c r="O16" s="2"/>
      <c r="P16" s="2"/>
      <c r="Q16" s="2"/>
      <c r="R16" s="2"/>
      <c r="S16" s="2"/>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row>
    <row r="17" spans="1:49" x14ac:dyDescent="0.3">
      <c r="A17" s="1"/>
      <c r="B17" s="17" t="s">
        <v>42</v>
      </c>
      <c r="C17" s="24">
        <v>49623</v>
      </c>
      <c r="D17" s="24">
        <v>70834</v>
      </c>
      <c r="E17" s="24">
        <v>73266</v>
      </c>
      <c r="F17" s="24">
        <v>22616</v>
      </c>
      <c r="G17" s="24">
        <v>23295</v>
      </c>
      <c r="H17" s="24">
        <v>35387</v>
      </c>
      <c r="I17" s="24">
        <v>40725</v>
      </c>
      <c r="J17" s="24">
        <v>52605</v>
      </c>
      <c r="K17" s="24">
        <v>55452</v>
      </c>
      <c r="L17" s="24">
        <f>L18+L19</f>
        <v>38761</v>
      </c>
      <c r="M17" s="2"/>
      <c r="N17" s="2"/>
      <c r="O17" s="2"/>
      <c r="P17" s="2"/>
      <c r="Q17" s="2"/>
      <c r="R17" s="2"/>
      <c r="S17" s="2"/>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row>
    <row r="18" spans="1:49" x14ac:dyDescent="0.3">
      <c r="A18" s="1"/>
      <c r="B18" s="49" t="s">
        <v>79</v>
      </c>
      <c r="C18" s="24">
        <v>13393</v>
      </c>
      <c r="D18" s="24">
        <v>15968</v>
      </c>
      <c r="E18" s="24">
        <v>17940</v>
      </c>
      <c r="F18" s="24">
        <v>21609</v>
      </c>
      <c r="G18" s="24">
        <v>22933</v>
      </c>
      <c r="H18" s="24">
        <v>33348</v>
      </c>
      <c r="I18" s="24">
        <v>39259</v>
      </c>
      <c r="J18" s="24">
        <v>51884</v>
      </c>
      <c r="K18" s="24">
        <v>37197</v>
      </c>
      <c r="L18" s="24">
        <v>36209</v>
      </c>
      <c r="M18" s="2"/>
      <c r="N18" s="2"/>
      <c r="O18" s="2"/>
      <c r="P18" s="2"/>
      <c r="Q18" s="2"/>
      <c r="R18" s="2"/>
      <c r="S18" s="2"/>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row>
    <row r="19" spans="1:49" x14ac:dyDescent="0.3">
      <c r="A19" s="1"/>
      <c r="B19" s="49" t="s">
        <v>80</v>
      </c>
      <c r="C19" s="24">
        <v>35463</v>
      </c>
      <c r="D19" s="24">
        <v>53835</v>
      </c>
      <c r="E19" s="24">
        <v>55067</v>
      </c>
      <c r="F19" s="24">
        <v>651</v>
      </c>
      <c r="G19" s="24">
        <v>238</v>
      </c>
      <c r="H19" s="24">
        <v>1535</v>
      </c>
      <c r="I19" s="24">
        <v>1371</v>
      </c>
      <c r="J19" s="24">
        <v>721</v>
      </c>
      <c r="K19" s="24">
        <v>18255</v>
      </c>
      <c r="L19" s="24">
        <v>2552</v>
      </c>
      <c r="M19" s="2"/>
      <c r="N19" s="2"/>
      <c r="O19" s="2"/>
      <c r="P19" s="2"/>
      <c r="Q19" s="2"/>
      <c r="R19" s="2"/>
      <c r="S19" s="2"/>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row>
    <row r="20" spans="1:49" x14ac:dyDescent="0.3">
      <c r="A20" s="1"/>
      <c r="B20" s="49" t="s">
        <v>77</v>
      </c>
      <c r="C20" s="24">
        <v>767</v>
      </c>
      <c r="D20" s="24">
        <v>1031</v>
      </c>
      <c r="E20" s="24">
        <v>259</v>
      </c>
      <c r="F20" s="24">
        <v>356</v>
      </c>
      <c r="G20" s="24">
        <v>124</v>
      </c>
      <c r="H20" s="24">
        <v>504</v>
      </c>
      <c r="I20" s="24">
        <v>95</v>
      </c>
      <c r="J20" s="24">
        <v>0</v>
      </c>
      <c r="K20" s="24">
        <v>0</v>
      </c>
      <c r="L20" s="24">
        <v>0</v>
      </c>
      <c r="M20" s="2"/>
      <c r="N20" s="2"/>
      <c r="O20" s="2"/>
      <c r="P20" s="2"/>
      <c r="Q20" s="2"/>
      <c r="R20" s="2"/>
      <c r="S20" s="2"/>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row>
    <row r="21" spans="1:49" x14ac:dyDescent="0.3">
      <c r="A21" s="1"/>
      <c r="B21" s="19" t="s">
        <v>64</v>
      </c>
      <c r="C21" s="27">
        <f t="shared" ref="C21:L21" si="5">C22+C31+C35</f>
        <v>1486533</v>
      </c>
      <c r="D21" s="27">
        <f t="shared" si="5"/>
        <v>1268712</v>
      </c>
      <c r="E21" s="27">
        <f t="shared" si="5"/>
        <v>1282768</v>
      </c>
      <c r="F21" s="27">
        <f t="shared" si="5"/>
        <v>3037517</v>
      </c>
      <c r="G21" s="27">
        <f t="shared" si="5"/>
        <v>3789669</v>
      </c>
      <c r="H21" s="27">
        <f t="shared" si="5"/>
        <v>4743268</v>
      </c>
      <c r="I21" s="27">
        <f t="shared" si="5"/>
        <v>4876371</v>
      </c>
      <c r="J21" s="27">
        <f t="shared" si="5"/>
        <v>5283723</v>
      </c>
      <c r="K21" s="27">
        <f t="shared" si="5"/>
        <v>5060506</v>
      </c>
      <c r="L21" s="27">
        <f t="shared" si="5"/>
        <v>4758804</v>
      </c>
      <c r="M21" s="2"/>
      <c r="N21" s="2"/>
      <c r="O21" s="2"/>
      <c r="P21" s="2"/>
      <c r="Q21" s="2"/>
      <c r="R21" s="2"/>
      <c r="S21" s="2"/>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row>
    <row r="22" spans="1:49" x14ac:dyDescent="0.3">
      <c r="A22" s="1"/>
      <c r="B22" s="13" t="s">
        <v>10</v>
      </c>
      <c r="C22" s="24">
        <v>546237</v>
      </c>
      <c r="D22" s="24">
        <v>457050</v>
      </c>
      <c r="E22" s="24">
        <v>448943</v>
      </c>
      <c r="F22" s="24">
        <v>624950</v>
      </c>
      <c r="G22" s="24">
        <v>1313046</v>
      </c>
      <c r="H22" s="24">
        <v>1291014</v>
      </c>
      <c r="I22" s="24">
        <v>1424314</v>
      </c>
      <c r="J22" s="24">
        <v>1899582</v>
      </c>
      <c r="K22" s="24">
        <v>1814076</v>
      </c>
      <c r="L22" s="24">
        <v>1377087</v>
      </c>
      <c r="M22" s="2"/>
      <c r="N22" s="2"/>
      <c r="O22" s="2"/>
      <c r="P22" s="2"/>
      <c r="Q22" s="2"/>
      <c r="R22" s="2"/>
      <c r="S22" s="2"/>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row>
    <row r="23" spans="1:49" x14ac:dyDescent="0.3">
      <c r="A23" s="1"/>
      <c r="B23" s="17" t="s">
        <v>3</v>
      </c>
      <c r="C23" s="24">
        <v>0</v>
      </c>
      <c r="D23" s="24">
        <v>0</v>
      </c>
      <c r="E23" s="24">
        <v>0</v>
      </c>
      <c r="F23" s="24">
        <v>0</v>
      </c>
      <c r="G23" s="24">
        <v>0</v>
      </c>
      <c r="H23" s="24">
        <v>0</v>
      </c>
      <c r="I23" s="24">
        <v>0</v>
      </c>
      <c r="J23" s="24">
        <v>0</v>
      </c>
      <c r="K23" s="24">
        <v>0</v>
      </c>
      <c r="L23" s="24">
        <v>0</v>
      </c>
      <c r="M23" s="2"/>
      <c r="N23" s="2"/>
      <c r="O23" s="2"/>
      <c r="P23" s="2"/>
      <c r="Q23" s="2"/>
      <c r="R23" s="2"/>
      <c r="S23" s="2"/>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row>
    <row r="24" spans="1:49" x14ac:dyDescent="0.3">
      <c r="A24" s="1"/>
      <c r="B24" s="17" t="s">
        <v>11</v>
      </c>
      <c r="C24" s="24">
        <v>440059</v>
      </c>
      <c r="D24" s="24">
        <v>398811</v>
      </c>
      <c r="E24" s="24">
        <v>370643</v>
      </c>
      <c r="F24" s="24">
        <v>0</v>
      </c>
      <c r="G24" s="24">
        <v>71492</v>
      </c>
      <c r="H24" s="24">
        <v>378803</v>
      </c>
      <c r="I24" s="24">
        <v>423049</v>
      </c>
      <c r="J24" s="24">
        <v>547087</v>
      </c>
      <c r="K24" s="24">
        <v>530141</v>
      </c>
      <c r="L24" s="24">
        <v>489748</v>
      </c>
      <c r="M24" s="2"/>
      <c r="N24" s="2"/>
      <c r="O24" s="2"/>
      <c r="P24" s="2"/>
      <c r="Q24" s="2"/>
      <c r="R24" s="2"/>
      <c r="S24" s="2"/>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row>
    <row r="25" spans="1:49" x14ac:dyDescent="0.3">
      <c r="A25" s="1"/>
      <c r="B25" s="49" t="s">
        <v>45</v>
      </c>
      <c r="C25" s="24">
        <v>440059</v>
      </c>
      <c r="D25" s="24">
        <v>398811</v>
      </c>
      <c r="E25" s="24">
        <v>370643</v>
      </c>
      <c r="F25" s="24">
        <v>0</v>
      </c>
      <c r="G25" s="24">
        <v>71492</v>
      </c>
      <c r="H25" s="24">
        <v>378803</v>
      </c>
      <c r="I25" s="24">
        <v>423049</v>
      </c>
      <c r="J25" s="24">
        <v>547087</v>
      </c>
      <c r="K25" s="24">
        <v>530141</v>
      </c>
      <c r="L25" s="24">
        <v>489748</v>
      </c>
      <c r="M25" s="2"/>
      <c r="N25" s="2"/>
      <c r="O25" s="2"/>
      <c r="P25" s="2"/>
      <c r="Q25" s="2"/>
      <c r="R25" s="2"/>
      <c r="S25" s="2"/>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row>
    <row r="26" spans="1:49" x14ac:dyDescent="0.3">
      <c r="A26" s="1"/>
      <c r="B26" s="17" t="s">
        <v>12</v>
      </c>
      <c r="C26" s="24">
        <v>106178</v>
      </c>
      <c r="D26" s="24">
        <v>58239</v>
      </c>
      <c r="E26" s="24">
        <v>78300</v>
      </c>
      <c r="F26" s="24">
        <v>624950</v>
      </c>
      <c r="G26" s="24">
        <v>1241554</v>
      </c>
      <c r="H26" s="24">
        <v>904302</v>
      </c>
      <c r="I26" s="24">
        <v>1001189</v>
      </c>
      <c r="J26" s="24">
        <v>1352495</v>
      </c>
      <c r="K26" s="24">
        <v>1277384</v>
      </c>
      <c r="L26" s="24">
        <v>887339</v>
      </c>
      <c r="M26" s="2"/>
      <c r="N26" s="2"/>
      <c r="O26" s="2"/>
      <c r="P26" s="2"/>
      <c r="Q26" s="2"/>
      <c r="R26" s="2"/>
      <c r="S26" s="2"/>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row>
    <row r="27" spans="1:49" x14ac:dyDescent="0.3">
      <c r="A27" s="1"/>
      <c r="B27" s="49" t="s">
        <v>7</v>
      </c>
      <c r="C27" s="24">
        <v>1727</v>
      </c>
      <c r="D27" s="24">
        <v>2396</v>
      </c>
      <c r="E27" s="24">
        <v>7649</v>
      </c>
      <c r="F27" s="24">
        <v>521136</v>
      </c>
      <c r="G27" s="24">
        <v>1157357</v>
      </c>
      <c r="H27" s="24">
        <v>839778</v>
      </c>
      <c r="I27" s="24">
        <v>937371</v>
      </c>
      <c r="J27" s="24">
        <v>1197839</v>
      </c>
      <c r="K27" s="24">
        <v>1127692</v>
      </c>
      <c r="L27" s="24">
        <v>791364</v>
      </c>
      <c r="M27" s="2"/>
      <c r="N27" s="2"/>
      <c r="O27" s="2"/>
      <c r="P27" s="2"/>
      <c r="Q27" s="2"/>
      <c r="R27" s="2"/>
      <c r="S27" s="2"/>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row>
    <row r="28" spans="1:49" x14ac:dyDescent="0.3">
      <c r="A28" s="1"/>
      <c r="B28" s="49" t="s">
        <v>81</v>
      </c>
      <c r="C28" s="24">
        <v>50474</v>
      </c>
      <c r="D28" s="24">
        <v>52280</v>
      </c>
      <c r="E28" s="24">
        <v>67748</v>
      </c>
      <c r="F28" s="24">
        <v>101836</v>
      </c>
      <c r="G28" s="24">
        <v>81513</v>
      </c>
      <c r="H28" s="24">
        <v>61937</v>
      </c>
      <c r="I28" s="24">
        <v>61290</v>
      </c>
      <c r="J28" s="24">
        <v>151418</v>
      </c>
      <c r="K28" s="24">
        <v>144940</v>
      </c>
      <c r="L28" s="24">
        <v>91360</v>
      </c>
      <c r="M28" s="2"/>
      <c r="N28" s="2"/>
      <c r="O28" s="2"/>
      <c r="P28" s="2"/>
      <c r="Q28" s="2"/>
      <c r="R28" s="2"/>
      <c r="S28" s="2"/>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row>
    <row r="29" spans="1:49" x14ac:dyDescent="0.3">
      <c r="A29" s="1"/>
      <c r="B29" s="49" t="s">
        <v>79</v>
      </c>
      <c r="C29" s="24">
        <v>53977</v>
      </c>
      <c r="D29" s="24">
        <v>3563</v>
      </c>
      <c r="E29" s="24">
        <v>2903</v>
      </c>
      <c r="F29" s="24">
        <v>1978</v>
      </c>
      <c r="G29" s="24">
        <v>2684</v>
      </c>
      <c r="H29" s="24">
        <v>2587</v>
      </c>
      <c r="I29" s="24">
        <v>2528</v>
      </c>
      <c r="J29" s="24">
        <v>3238</v>
      </c>
      <c r="K29" s="24">
        <v>4752</v>
      </c>
      <c r="L29" s="24">
        <v>4615</v>
      </c>
      <c r="M29" s="2"/>
      <c r="N29" s="2"/>
      <c r="O29" s="2"/>
      <c r="P29" s="2"/>
      <c r="Q29" s="2"/>
      <c r="R29" s="2"/>
      <c r="S29" s="2"/>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row>
    <row r="30" spans="1:49" x14ac:dyDescent="0.3">
      <c r="A30" s="1"/>
      <c r="B30" s="17" t="s">
        <v>944</v>
      </c>
      <c r="C30" s="24"/>
      <c r="D30" s="24"/>
      <c r="E30" s="24"/>
      <c r="F30" s="24"/>
      <c r="G30" s="24"/>
      <c r="H30" s="24"/>
      <c r="I30" s="24"/>
      <c r="J30" s="24">
        <v>0</v>
      </c>
      <c r="K30" s="24">
        <v>6551</v>
      </c>
      <c r="L30" s="24">
        <v>0</v>
      </c>
      <c r="M30" s="2"/>
      <c r="N30" s="2"/>
      <c r="O30" s="2"/>
      <c r="P30" s="2"/>
      <c r="Q30" s="2"/>
      <c r="R30" s="2"/>
      <c r="S30" s="2"/>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row>
    <row r="31" spans="1:49" x14ac:dyDescent="0.3">
      <c r="A31" s="1"/>
      <c r="B31" s="13" t="s">
        <v>13</v>
      </c>
      <c r="C31" s="24">
        <v>780251</v>
      </c>
      <c r="D31" s="24">
        <v>612572</v>
      </c>
      <c r="E31" s="24">
        <v>636927</v>
      </c>
      <c r="F31" s="24">
        <v>2225227</v>
      </c>
      <c r="G31" s="24">
        <v>2181663</v>
      </c>
      <c r="H31" s="24">
        <v>2476559</v>
      </c>
      <c r="I31" s="24">
        <v>2430992</v>
      </c>
      <c r="J31" s="24">
        <v>2419377</v>
      </c>
      <c r="K31" s="24">
        <v>2353623</v>
      </c>
      <c r="L31" s="24">
        <v>2531986</v>
      </c>
      <c r="M31" s="2"/>
      <c r="N31" s="2"/>
      <c r="O31" s="2"/>
      <c r="P31" s="2"/>
      <c r="Q31" s="2"/>
      <c r="R31" s="2"/>
      <c r="S31" s="2"/>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row>
    <row r="32" spans="1:49" x14ac:dyDescent="0.3">
      <c r="A32" s="1"/>
      <c r="B32" s="17" t="s">
        <v>82</v>
      </c>
      <c r="C32" s="24">
        <v>705570</v>
      </c>
      <c r="D32" s="24">
        <v>588325</v>
      </c>
      <c r="E32" s="24">
        <v>607408</v>
      </c>
      <c r="F32" s="24">
        <v>665906</v>
      </c>
      <c r="G32" s="24">
        <v>651814</v>
      </c>
      <c r="H32" s="24">
        <v>817978</v>
      </c>
      <c r="I32" s="24">
        <v>850758</v>
      </c>
      <c r="J32" s="24">
        <v>763401</v>
      </c>
      <c r="K32" s="24">
        <v>823714</v>
      </c>
      <c r="L32" s="24">
        <v>1057438</v>
      </c>
      <c r="M32" s="2"/>
      <c r="N32" s="2"/>
      <c r="O32" s="2"/>
      <c r="P32" s="2"/>
      <c r="Q32" s="2"/>
      <c r="R32" s="2"/>
      <c r="S32" s="2"/>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row>
    <row r="33" spans="1:49" x14ac:dyDescent="0.3">
      <c r="A33" s="1"/>
      <c r="B33" s="17" t="s">
        <v>83</v>
      </c>
      <c r="C33" s="24">
        <v>4736</v>
      </c>
      <c r="D33" s="24">
        <v>4473</v>
      </c>
      <c r="E33" s="24">
        <v>4210</v>
      </c>
      <c r="F33" s="24">
        <v>1507815</v>
      </c>
      <c r="G33" s="24">
        <v>1514438</v>
      </c>
      <c r="H33" s="24">
        <v>1640290</v>
      </c>
      <c r="I33" s="24">
        <v>1565447</v>
      </c>
      <c r="J33" s="24">
        <v>1655976</v>
      </c>
      <c r="K33" s="24">
        <v>1529909</v>
      </c>
      <c r="L33" s="24">
        <v>1474548</v>
      </c>
      <c r="M33" s="2"/>
      <c r="N33" s="2"/>
      <c r="O33" s="2"/>
      <c r="P33" s="2"/>
      <c r="Q33" s="2"/>
      <c r="R33" s="2"/>
      <c r="S33" s="2"/>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row>
    <row r="34" spans="1:49" x14ac:dyDescent="0.3">
      <c r="A34" s="1"/>
      <c r="B34" s="17" t="s">
        <v>84</v>
      </c>
      <c r="C34" s="24">
        <v>69945</v>
      </c>
      <c r="D34" s="24">
        <v>19774</v>
      </c>
      <c r="E34" s="24">
        <v>25309</v>
      </c>
      <c r="F34" s="24">
        <v>51506</v>
      </c>
      <c r="G34" s="24">
        <v>15411</v>
      </c>
      <c r="H34" s="24">
        <v>18291</v>
      </c>
      <c r="I34" s="24">
        <v>14787</v>
      </c>
      <c r="J34" s="24">
        <v>0</v>
      </c>
      <c r="K34" s="24">
        <v>0</v>
      </c>
      <c r="L34" s="24">
        <v>0</v>
      </c>
      <c r="M34" s="2"/>
      <c r="N34" s="2"/>
      <c r="O34" s="2"/>
      <c r="P34" s="2"/>
      <c r="Q34" s="2"/>
      <c r="R34" s="2"/>
      <c r="S34" s="2"/>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row>
    <row r="35" spans="1:49" x14ac:dyDescent="0.3">
      <c r="A35" s="1"/>
      <c r="B35" s="13" t="s">
        <v>14</v>
      </c>
      <c r="C35" s="24">
        <v>160045</v>
      </c>
      <c r="D35" s="24">
        <v>199090</v>
      </c>
      <c r="E35" s="24">
        <v>196898</v>
      </c>
      <c r="F35" s="24">
        <v>187340</v>
      </c>
      <c r="G35" s="24">
        <v>294960</v>
      </c>
      <c r="H35" s="24">
        <v>975695</v>
      </c>
      <c r="I35" s="24">
        <v>1021065</v>
      </c>
      <c r="J35" s="24">
        <v>964764</v>
      </c>
      <c r="K35" s="24">
        <v>892807</v>
      </c>
      <c r="L35" s="24">
        <v>849731</v>
      </c>
      <c r="M35" s="2"/>
      <c r="N35" s="2"/>
      <c r="O35" s="2"/>
      <c r="P35" s="2"/>
      <c r="Q35" s="2"/>
      <c r="R35" s="2"/>
      <c r="S35" s="2"/>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row>
    <row r="36" spans="1:49" x14ac:dyDescent="0.3">
      <c r="A36" s="1"/>
      <c r="B36" s="17" t="s">
        <v>945</v>
      </c>
      <c r="C36" s="24">
        <v>160045</v>
      </c>
      <c r="D36" s="24">
        <v>199090</v>
      </c>
      <c r="E36" s="24">
        <v>196898</v>
      </c>
      <c r="F36" s="24">
        <v>187340</v>
      </c>
      <c r="G36" s="24">
        <v>294960</v>
      </c>
      <c r="H36" s="24">
        <v>975695</v>
      </c>
      <c r="I36" s="24">
        <v>1021065</v>
      </c>
      <c r="J36" s="24">
        <v>964764</v>
      </c>
      <c r="K36" s="24">
        <v>892807</v>
      </c>
      <c r="L36" s="24">
        <v>849731</v>
      </c>
      <c r="M36" s="2"/>
      <c r="N36" s="2"/>
      <c r="O36" s="2"/>
      <c r="P36" s="2"/>
      <c r="Q36" s="2"/>
      <c r="R36" s="2"/>
      <c r="S36" s="2"/>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row>
    <row r="37" spans="1:49" x14ac:dyDescent="0.3">
      <c r="A37" s="1"/>
      <c r="B37" s="10" t="s">
        <v>9</v>
      </c>
      <c r="C37" s="27">
        <f>C38+C61</f>
        <v>2804888</v>
      </c>
      <c r="D37" s="27">
        <f t="shared" ref="D37:L37" si="6">D38+D61</f>
        <v>2387786</v>
      </c>
      <c r="E37" s="27">
        <f t="shared" si="6"/>
        <v>2363298</v>
      </c>
      <c r="F37" s="27">
        <f t="shared" si="6"/>
        <v>3251891</v>
      </c>
      <c r="G37" s="27">
        <f t="shared" si="6"/>
        <v>4654847</v>
      </c>
      <c r="H37" s="27">
        <f t="shared" si="6"/>
        <v>5677657</v>
      </c>
      <c r="I37" s="27">
        <f t="shared" si="6"/>
        <v>6629398</v>
      </c>
      <c r="J37" s="27">
        <f t="shared" si="6"/>
        <v>6734490</v>
      </c>
      <c r="K37" s="27">
        <f t="shared" si="6"/>
        <v>6745411</v>
      </c>
      <c r="L37" s="27">
        <f t="shared" si="6"/>
        <v>5611577</v>
      </c>
      <c r="M37" s="2"/>
      <c r="N37" s="2"/>
      <c r="O37" s="2"/>
      <c r="P37" s="2"/>
      <c r="Q37" s="2"/>
      <c r="R37" s="2"/>
      <c r="S37" s="2"/>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row>
    <row r="38" spans="1:49" x14ac:dyDescent="0.3">
      <c r="A38" s="1"/>
      <c r="B38" s="19" t="s">
        <v>15</v>
      </c>
      <c r="C38" s="27">
        <f>C39+C41+C46+C51+C54</f>
        <v>1746409</v>
      </c>
      <c r="D38" s="27">
        <f t="shared" ref="D38:L38" si="7">D39+D41+D46+D51+D54</f>
        <v>2022855</v>
      </c>
      <c r="E38" s="27">
        <f t="shared" si="7"/>
        <v>1750068</v>
      </c>
      <c r="F38" s="27">
        <f t="shared" si="7"/>
        <v>1751077</v>
      </c>
      <c r="G38" s="27">
        <f t="shared" si="7"/>
        <v>2251711</v>
      </c>
      <c r="H38" s="27">
        <f t="shared" si="7"/>
        <v>2415055</v>
      </c>
      <c r="I38" s="27">
        <f t="shared" si="7"/>
        <v>3679731</v>
      </c>
      <c r="J38" s="27">
        <f t="shared" si="7"/>
        <v>3035263</v>
      </c>
      <c r="K38" s="27">
        <f t="shared" si="7"/>
        <v>3850272</v>
      </c>
      <c r="L38" s="27">
        <f t="shared" si="7"/>
        <v>3116161</v>
      </c>
      <c r="M38" s="2"/>
      <c r="N38" s="2"/>
      <c r="O38" s="2"/>
      <c r="P38" s="2"/>
      <c r="Q38" s="2"/>
      <c r="R38" s="2"/>
      <c r="S38" s="2"/>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row>
    <row r="39" spans="1:49" x14ac:dyDescent="0.3">
      <c r="A39" s="1"/>
      <c r="B39" s="13" t="s">
        <v>16</v>
      </c>
      <c r="C39" s="24">
        <v>104360</v>
      </c>
      <c r="D39" s="24">
        <v>136866</v>
      </c>
      <c r="E39" s="24">
        <v>130922</v>
      </c>
      <c r="F39" s="24">
        <v>128548</v>
      </c>
      <c r="G39" s="24">
        <v>136126</v>
      </c>
      <c r="H39" s="24">
        <v>155470</v>
      </c>
      <c r="I39" s="24">
        <v>198732</v>
      </c>
      <c r="J39" s="24">
        <v>231364</v>
      </c>
      <c r="K39" s="24">
        <v>279826</v>
      </c>
      <c r="L39" s="24">
        <v>293617</v>
      </c>
      <c r="M39" s="2"/>
      <c r="N39" s="2"/>
      <c r="O39" s="2"/>
      <c r="P39" s="2"/>
      <c r="Q39" s="2"/>
      <c r="R39" s="2"/>
      <c r="S39" s="2"/>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row>
    <row r="40" spans="1:49" x14ac:dyDescent="0.3">
      <c r="A40" s="1"/>
      <c r="B40" s="17" t="s">
        <v>93</v>
      </c>
      <c r="C40" s="24">
        <v>104360</v>
      </c>
      <c r="D40" s="24">
        <v>136866</v>
      </c>
      <c r="E40" s="24">
        <v>130922</v>
      </c>
      <c r="F40" s="24">
        <v>128548</v>
      </c>
      <c r="G40" s="24">
        <v>136126</v>
      </c>
      <c r="H40" s="24">
        <v>155470</v>
      </c>
      <c r="I40" s="24">
        <v>198732</v>
      </c>
      <c r="J40" s="24">
        <v>231364</v>
      </c>
      <c r="K40" s="24">
        <v>279826</v>
      </c>
      <c r="L40" s="24">
        <v>293617</v>
      </c>
      <c r="M40" s="2"/>
      <c r="N40" s="2"/>
      <c r="O40" s="2"/>
      <c r="P40" s="2"/>
      <c r="Q40" s="2"/>
      <c r="R40" s="2"/>
      <c r="S40" s="2"/>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row>
    <row r="41" spans="1:49" x14ac:dyDescent="0.3">
      <c r="A41" s="1"/>
      <c r="B41" s="13" t="s">
        <v>17</v>
      </c>
      <c r="C41" s="24">
        <v>609005</v>
      </c>
      <c r="D41" s="24">
        <v>686193</v>
      </c>
      <c r="E41" s="24">
        <v>678846</v>
      </c>
      <c r="F41" s="24">
        <v>804013</v>
      </c>
      <c r="G41" s="24">
        <v>1158914</v>
      </c>
      <c r="H41" s="24">
        <v>1400736</v>
      </c>
      <c r="I41" s="24">
        <v>1864653</v>
      </c>
      <c r="J41" s="24">
        <v>1625685</v>
      </c>
      <c r="K41" s="24">
        <v>2239286</v>
      </c>
      <c r="L41" s="24">
        <f>L42+L43+L44+L45</f>
        <v>1746037</v>
      </c>
      <c r="M41" s="2"/>
      <c r="N41" s="2"/>
      <c r="O41" s="2"/>
      <c r="P41" s="2"/>
      <c r="Q41" s="2"/>
      <c r="R41" s="2"/>
      <c r="S41" s="2"/>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row>
    <row r="42" spans="1:49" x14ac:dyDescent="0.3">
      <c r="A42" s="1"/>
      <c r="B42" s="17" t="s">
        <v>946</v>
      </c>
      <c r="C42" s="24">
        <v>607021</v>
      </c>
      <c r="D42" s="24">
        <v>681917</v>
      </c>
      <c r="E42" s="24">
        <v>677120</v>
      </c>
      <c r="F42" s="24">
        <v>803651</v>
      </c>
      <c r="G42" s="24">
        <v>1151964</v>
      </c>
      <c r="H42" s="24">
        <v>1400736</v>
      </c>
      <c r="I42" s="24">
        <v>1864653</v>
      </c>
      <c r="J42" s="24">
        <v>1260976</v>
      </c>
      <c r="K42" s="24">
        <v>1889243</v>
      </c>
      <c r="L42" s="24">
        <v>1324832</v>
      </c>
      <c r="M42" s="2"/>
      <c r="N42" s="2"/>
      <c r="O42" s="2"/>
      <c r="P42" s="2"/>
      <c r="Q42" s="2"/>
      <c r="R42" s="2"/>
      <c r="S42" s="2"/>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row>
    <row r="43" spans="1:49" x14ac:dyDescent="0.3">
      <c r="A43" s="1"/>
      <c r="B43" s="17" t="s">
        <v>85</v>
      </c>
      <c r="C43" s="24">
        <v>1984</v>
      </c>
      <c r="D43" s="24">
        <v>4276</v>
      </c>
      <c r="E43" s="24">
        <v>1726</v>
      </c>
      <c r="F43" s="24">
        <v>362</v>
      </c>
      <c r="G43" s="24">
        <v>6950</v>
      </c>
      <c r="H43" s="24">
        <v>0</v>
      </c>
      <c r="I43" s="24">
        <v>0</v>
      </c>
      <c r="J43" s="24">
        <v>0</v>
      </c>
      <c r="K43" s="24">
        <v>0</v>
      </c>
      <c r="L43" s="24">
        <v>0</v>
      </c>
      <c r="M43" s="2"/>
      <c r="N43" s="2"/>
      <c r="O43" s="2"/>
      <c r="P43" s="2"/>
      <c r="Q43" s="2"/>
      <c r="R43" s="2"/>
      <c r="S43" s="2"/>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row>
    <row r="44" spans="1:49" x14ac:dyDescent="0.3">
      <c r="A44" s="1"/>
      <c r="B44" s="17" t="s">
        <v>947</v>
      </c>
      <c r="C44" s="24">
        <v>0</v>
      </c>
      <c r="D44" s="24">
        <v>0</v>
      </c>
      <c r="E44" s="24">
        <v>0</v>
      </c>
      <c r="F44" s="24">
        <v>0</v>
      </c>
      <c r="G44" s="24">
        <v>0</v>
      </c>
      <c r="H44" s="24">
        <v>0</v>
      </c>
      <c r="I44" s="24">
        <v>0</v>
      </c>
      <c r="J44" s="24">
        <v>364709</v>
      </c>
      <c r="K44" s="24">
        <v>350043</v>
      </c>
      <c r="L44" s="24">
        <v>421205</v>
      </c>
      <c r="M44" s="2"/>
      <c r="N44" s="2"/>
      <c r="O44" s="2"/>
      <c r="P44" s="2"/>
      <c r="Q44" s="2"/>
      <c r="R44" s="2"/>
      <c r="S44" s="2"/>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row>
    <row r="45" spans="1:49" x14ac:dyDescent="0.3">
      <c r="A45" s="1"/>
      <c r="B45" s="17" t="s">
        <v>595</v>
      </c>
      <c r="C45" s="24">
        <v>0</v>
      </c>
      <c r="D45" s="24">
        <v>0</v>
      </c>
      <c r="E45" s="24">
        <v>0</v>
      </c>
      <c r="F45" s="24">
        <v>0</v>
      </c>
      <c r="G45" s="24">
        <v>0</v>
      </c>
      <c r="H45" s="24">
        <v>0</v>
      </c>
      <c r="I45" s="24">
        <v>0</v>
      </c>
      <c r="J45" s="24">
        <v>0</v>
      </c>
      <c r="K45" s="24">
        <v>608563</v>
      </c>
      <c r="L45" s="24">
        <v>0</v>
      </c>
      <c r="M45" s="2"/>
      <c r="N45" s="2"/>
      <c r="O45" s="2"/>
      <c r="P45" s="2"/>
      <c r="Q45" s="2"/>
      <c r="R45" s="2"/>
      <c r="S45" s="2"/>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row>
    <row r="46" spans="1:49" x14ac:dyDescent="0.3">
      <c r="A46" s="1"/>
      <c r="B46" s="13" t="s">
        <v>18</v>
      </c>
      <c r="C46" s="24">
        <v>173590</v>
      </c>
      <c r="D46" s="24">
        <v>184184</v>
      </c>
      <c r="E46" s="24">
        <v>187495</v>
      </c>
      <c r="F46" s="24">
        <v>219282</v>
      </c>
      <c r="G46" s="24">
        <v>107276</v>
      </c>
      <c r="H46" s="24">
        <v>176103</v>
      </c>
      <c r="I46" s="24">
        <v>248041</v>
      </c>
      <c r="J46" s="24">
        <v>287249</v>
      </c>
      <c r="K46" s="24">
        <v>375899</v>
      </c>
      <c r="L46" s="24">
        <v>385977</v>
      </c>
      <c r="M46" s="2"/>
      <c r="N46" s="2"/>
      <c r="O46" s="2"/>
      <c r="P46" s="2"/>
      <c r="Q46" s="2"/>
      <c r="R46" s="2"/>
      <c r="S46" s="2"/>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row>
    <row r="47" spans="1:49" x14ac:dyDescent="0.3">
      <c r="A47" s="1"/>
      <c r="B47" s="17" t="s">
        <v>86</v>
      </c>
      <c r="C47" s="24">
        <v>63072</v>
      </c>
      <c r="D47" s="24">
        <v>70911</v>
      </c>
      <c r="E47" s="24">
        <v>70110</v>
      </c>
      <c r="F47" s="24">
        <v>116803</v>
      </c>
      <c r="G47" s="24">
        <v>7751</v>
      </c>
      <c r="H47" s="24">
        <v>7262</v>
      </c>
      <c r="I47" s="24">
        <v>248041</v>
      </c>
      <c r="J47" s="24">
        <v>287249</v>
      </c>
      <c r="K47" s="24">
        <v>375899</v>
      </c>
      <c r="L47" s="24">
        <v>385977</v>
      </c>
      <c r="M47" s="2"/>
      <c r="N47" s="2"/>
      <c r="O47" s="2"/>
      <c r="P47" s="2"/>
      <c r="Q47" s="2"/>
      <c r="R47" s="2"/>
      <c r="S47" s="2"/>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row>
    <row r="48" spans="1:49" x14ac:dyDescent="0.3">
      <c r="A48" s="1"/>
      <c r="B48" s="49" t="s">
        <v>45</v>
      </c>
      <c r="C48" s="24">
        <v>348</v>
      </c>
      <c r="D48" s="24">
        <v>3014</v>
      </c>
      <c r="E48" s="24">
        <v>26566</v>
      </c>
      <c r="F48" s="24">
        <v>35672</v>
      </c>
      <c r="G48" s="24">
        <v>321</v>
      </c>
      <c r="H48" s="24">
        <v>463</v>
      </c>
      <c r="I48" s="24">
        <v>0</v>
      </c>
      <c r="J48" s="24">
        <v>0</v>
      </c>
      <c r="K48" s="24">
        <v>0</v>
      </c>
      <c r="L48" s="24">
        <v>0</v>
      </c>
      <c r="M48" s="2"/>
      <c r="N48" s="2"/>
      <c r="O48" s="2"/>
      <c r="P48" s="2"/>
      <c r="Q48" s="2"/>
      <c r="R48" s="2"/>
      <c r="S48" s="2"/>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row>
    <row r="49" spans="1:49" x14ac:dyDescent="0.3">
      <c r="A49" s="1"/>
      <c r="B49" s="49" t="s">
        <v>42</v>
      </c>
      <c r="C49" s="24">
        <v>62724</v>
      </c>
      <c r="D49" s="24">
        <v>67897</v>
      </c>
      <c r="E49" s="24">
        <v>43544</v>
      </c>
      <c r="F49" s="24">
        <v>81131</v>
      </c>
      <c r="G49" s="24">
        <v>7430</v>
      </c>
      <c r="H49" s="24">
        <v>0</v>
      </c>
      <c r="I49" s="24">
        <v>248041</v>
      </c>
      <c r="J49" s="24">
        <v>287249</v>
      </c>
      <c r="K49" s="24">
        <v>375899</v>
      </c>
      <c r="L49" s="24">
        <v>385977</v>
      </c>
      <c r="M49" s="2"/>
      <c r="N49" s="2"/>
      <c r="O49" s="2"/>
      <c r="P49" s="2"/>
      <c r="Q49" s="2"/>
      <c r="R49" s="2"/>
      <c r="S49" s="2"/>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row>
    <row r="50" spans="1:49" x14ac:dyDescent="0.3">
      <c r="A50" s="1"/>
      <c r="B50" s="17" t="s">
        <v>87</v>
      </c>
      <c r="C50" s="24">
        <v>110518</v>
      </c>
      <c r="D50" s="24">
        <v>113273</v>
      </c>
      <c r="E50" s="24">
        <v>117385</v>
      </c>
      <c r="F50" s="24">
        <v>102479</v>
      </c>
      <c r="G50" s="24">
        <v>99525</v>
      </c>
      <c r="H50" s="24">
        <v>175640</v>
      </c>
      <c r="I50" s="24">
        <v>0</v>
      </c>
      <c r="J50" s="24">
        <v>0</v>
      </c>
      <c r="K50" s="24">
        <v>0</v>
      </c>
      <c r="L50" s="24">
        <v>0</v>
      </c>
      <c r="M50" s="2"/>
      <c r="N50" s="2"/>
      <c r="O50" s="2"/>
      <c r="P50" s="2"/>
      <c r="Q50" s="2"/>
      <c r="R50" s="2"/>
      <c r="S50" s="2"/>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row>
    <row r="51" spans="1:49" x14ac:dyDescent="0.3">
      <c r="A51" s="1"/>
      <c r="B51" s="13" t="s">
        <v>19</v>
      </c>
      <c r="C51" s="24">
        <v>287</v>
      </c>
      <c r="D51" s="24">
        <v>257</v>
      </c>
      <c r="E51" s="24">
        <v>230</v>
      </c>
      <c r="F51" s="24">
        <v>357891</v>
      </c>
      <c r="G51" s="24">
        <v>781203</v>
      </c>
      <c r="H51" s="24">
        <v>592901</v>
      </c>
      <c r="I51" s="24">
        <v>1259253</v>
      </c>
      <c r="J51" s="24">
        <v>848893</v>
      </c>
      <c r="K51" s="24">
        <v>809275</v>
      </c>
      <c r="L51" s="24">
        <f>L52+L53</f>
        <v>512539</v>
      </c>
      <c r="M51" s="2"/>
      <c r="N51" s="2"/>
      <c r="O51" s="2"/>
      <c r="P51" s="2"/>
      <c r="Q51" s="2"/>
      <c r="R51" s="2"/>
      <c r="S51" s="2"/>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row>
    <row r="52" spans="1:49" x14ac:dyDescent="0.3">
      <c r="A52" s="1"/>
      <c r="B52" s="17" t="s">
        <v>88</v>
      </c>
      <c r="C52" s="24">
        <v>0</v>
      </c>
      <c r="D52" s="24">
        <v>0</v>
      </c>
      <c r="E52" s="24">
        <v>0</v>
      </c>
      <c r="F52" s="24">
        <v>0</v>
      </c>
      <c r="G52" s="24">
        <v>390600</v>
      </c>
      <c r="H52" s="24">
        <v>121178</v>
      </c>
      <c r="I52" s="24">
        <v>746015</v>
      </c>
      <c r="J52" s="24">
        <v>511427</v>
      </c>
      <c r="K52" s="24">
        <v>456541</v>
      </c>
      <c r="L52" s="24">
        <v>139796</v>
      </c>
      <c r="M52" s="2"/>
      <c r="N52" s="2"/>
      <c r="O52" s="2"/>
      <c r="P52" s="2"/>
      <c r="Q52" s="2"/>
      <c r="R52" s="2"/>
      <c r="S52" s="2"/>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row>
    <row r="53" spans="1:49" x14ac:dyDescent="0.3">
      <c r="A53" s="1"/>
      <c r="B53" s="17" t="s">
        <v>89</v>
      </c>
      <c r="C53" s="24">
        <v>287</v>
      </c>
      <c r="D53" s="24">
        <v>257</v>
      </c>
      <c r="E53" s="24">
        <v>230</v>
      </c>
      <c r="F53" s="24">
        <v>357891</v>
      </c>
      <c r="G53" s="24">
        <v>390603</v>
      </c>
      <c r="H53" s="24">
        <v>471723</v>
      </c>
      <c r="I53" s="24">
        <v>513238</v>
      </c>
      <c r="J53" s="24">
        <v>337466</v>
      </c>
      <c r="K53" s="24">
        <v>352734</v>
      </c>
      <c r="L53" s="24">
        <v>372743</v>
      </c>
      <c r="M53" s="2"/>
      <c r="N53" s="2"/>
      <c r="O53" s="2"/>
      <c r="P53" s="2"/>
      <c r="Q53" s="2"/>
      <c r="R53" s="2"/>
      <c r="S53" s="2"/>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row>
    <row r="54" spans="1:49" x14ac:dyDescent="0.3">
      <c r="A54" s="1"/>
      <c r="B54" s="13" t="s">
        <v>20</v>
      </c>
      <c r="C54" s="24">
        <v>859167</v>
      </c>
      <c r="D54" s="24">
        <v>1015355</v>
      </c>
      <c r="E54" s="24">
        <v>752575</v>
      </c>
      <c r="F54" s="24">
        <v>241343</v>
      </c>
      <c r="G54" s="24">
        <v>68192</v>
      </c>
      <c r="H54" s="24">
        <v>89845</v>
      </c>
      <c r="I54" s="24">
        <v>109052</v>
      </c>
      <c r="J54" s="24">
        <v>42072</v>
      </c>
      <c r="K54" s="24">
        <v>145986</v>
      </c>
      <c r="L54" s="24">
        <f>L55+L57</f>
        <v>177991</v>
      </c>
      <c r="M54" s="2"/>
      <c r="N54" s="2"/>
      <c r="O54" s="2"/>
      <c r="P54" s="2"/>
      <c r="Q54" s="2"/>
      <c r="R54" s="2"/>
      <c r="S54" s="2"/>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row>
    <row r="55" spans="1:49" x14ac:dyDescent="0.3">
      <c r="A55" s="1"/>
      <c r="B55" s="49" t="s">
        <v>90</v>
      </c>
      <c r="C55" s="24">
        <v>694914</v>
      </c>
      <c r="D55" s="24">
        <v>980051</v>
      </c>
      <c r="E55" s="24">
        <v>711575</v>
      </c>
      <c r="F55" s="24">
        <v>69519</v>
      </c>
      <c r="G55" s="24">
        <v>34766</v>
      </c>
      <c r="H55" s="24">
        <v>59016</v>
      </c>
      <c r="I55" s="24">
        <v>43592</v>
      </c>
      <c r="J55" s="24">
        <v>0</v>
      </c>
      <c r="K55" s="24">
        <v>0</v>
      </c>
      <c r="L55" s="24">
        <v>0</v>
      </c>
      <c r="M55" s="2"/>
      <c r="N55" s="2"/>
      <c r="O55" s="2"/>
      <c r="P55" s="2"/>
      <c r="Q55" s="2"/>
      <c r="R55" s="2"/>
      <c r="S55" s="2"/>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row>
    <row r="56" spans="1:49" x14ac:dyDescent="0.3">
      <c r="A56" s="1"/>
      <c r="B56" s="145" t="s">
        <v>948</v>
      </c>
      <c r="C56" s="24">
        <v>694914</v>
      </c>
      <c r="D56" s="24">
        <v>980051</v>
      </c>
      <c r="E56" s="24">
        <v>711575</v>
      </c>
      <c r="F56" s="24">
        <v>69519</v>
      </c>
      <c r="G56" s="24">
        <v>34766</v>
      </c>
      <c r="H56" s="24">
        <v>59016</v>
      </c>
      <c r="I56" s="24">
        <v>43592</v>
      </c>
      <c r="J56" s="24">
        <v>0</v>
      </c>
      <c r="K56" s="24">
        <v>0</v>
      </c>
      <c r="L56" s="24">
        <v>0</v>
      </c>
      <c r="M56" s="2"/>
      <c r="N56" s="2"/>
      <c r="O56" s="2"/>
      <c r="P56" s="2"/>
      <c r="Q56" s="2"/>
      <c r="R56" s="2"/>
      <c r="S56" s="2"/>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row>
    <row r="57" spans="1:49" x14ac:dyDescent="0.3">
      <c r="A57" s="1"/>
      <c r="B57" s="49" t="s">
        <v>42</v>
      </c>
      <c r="C57" s="24">
        <v>164253</v>
      </c>
      <c r="D57" s="24">
        <v>35304</v>
      </c>
      <c r="E57" s="24">
        <v>41000</v>
      </c>
      <c r="F57" s="24">
        <v>171824</v>
      </c>
      <c r="G57" s="24">
        <v>33426</v>
      </c>
      <c r="H57" s="24">
        <v>30829</v>
      </c>
      <c r="I57" s="24">
        <v>65460</v>
      </c>
      <c r="J57" s="24">
        <v>42072</v>
      </c>
      <c r="K57" s="24">
        <v>145986</v>
      </c>
      <c r="L57" s="24">
        <f>SUM(L58:L60)</f>
        <v>177991</v>
      </c>
      <c r="M57" s="2"/>
      <c r="N57" s="2"/>
      <c r="O57" s="2"/>
      <c r="P57" s="2"/>
      <c r="Q57" s="2"/>
      <c r="R57" s="2"/>
      <c r="S57" s="2"/>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row>
    <row r="58" spans="1:49" x14ac:dyDescent="0.3">
      <c r="A58" s="1"/>
      <c r="B58" s="145" t="s">
        <v>91</v>
      </c>
      <c r="C58" s="24">
        <v>128302</v>
      </c>
      <c r="D58" s="24">
        <v>74</v>
      </c>
      <c r="E58" s="24">
        <v>403</v>
      </c>
      <c r="F58" s="24">
        <v>3938</v>
      </c>
      <c r="G58" s="24">
        <v>6788</v>
      </c>
      <c r="H58" s="24">
        <v>1910</v>
      </c>
      <c r="I58" s="24">
        <v>1756</v>
      </c>
      <c r="J58" s="24">
        <v>1392</v>
      </c>
      <c r="K58" s="24">
        <v>319</v>
      </c>
      <c r="L58" s="24">
        <v>1760</v>
      </c>
      <c r="M58" s="2"/>
      <c r="N58" s="2"/>
      <c r="O58" s="2"/>
      <c r="P58" s="2"/>
      <c r="Q58" s="2"/>
      <c r="R58" s="2"/>
      <c r="S58" s="2"/>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row>
    <row r="59" spans="1:49" x14ac:dyDescent="0.3">
      <c r="A59" s="1"/>
      <c r="B59" s="145" t="s">
        <v>92</v>
      </c>
      <c r="C59" s="24">
        <v>35951</v>
      </c>
      <c r="D59" s="24">
        <v>35230</v>
      </c>
      <c r="E59" s="24">
        <v>40597</v>
      </c>
      <c r="F59" s="24">
        <v>23052</v>
      </c>
      <c r="G59" s="24">
        <v>26637</v>
      </c>
      <c r="H59" s="24">
        <v>28918</v>
      </c>
      <c r="I59" s="24">
        <v>63704</v>
      </c>
      <c r="J59" s="24">
        <v>40680</v>
      </c>
      <c r="K59" s="24">
        <v>43733</v>
      </c>
      <c r="L59" s="24">
        <v>36452</v>
      </c>
      <c r="M59" s="2"/>
      <c r="N59" s="2"/>
      <c r="O59" s="2"/>
      <c r="P59" s="2"/>
      <c r="Q59" s="2"/>
      <c r="R59" s="2"/>
      <c r="S59" s="2"/>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row>
    <row r="60" spans="1:49" x14ac:dyDescent="0.3">
      <c r="A60" s="1"/>
      <c r="B60" s="145" t="s">
        <v>949</v>
      </c>
      <c r="C60" s="24">
        <v>0</v>
      </c>
      <c r="D60" s="24">
        <v>0</v>
      </c>
      <c r="E60" s="24">
        <v>0</v>
      </c>
      <c r="F60" s="24">
        <v>144834</v>
      </c>
      <c r="G60" s="24">
        <v>1</v>
      </c>
      <c r="H60" s="24">
        <v>1</v>
      </c>
      <c r="I60" s="24">
        <v>0</v>
      </c>
      <c r="J60" s="24">
        <v>0</v>
      </c>
      <c r="K60" s="24">
        <v>101934</v>
      </c>
      <c r="L60" s="24">
        <v>139779</v>
      </c>
      <c r="M60" s="2"/>
      <c r="N60" s="2"/>
      <c r="O60" s="2"/>
      <c r="P60" s="2"/>
      <c r="Q60" s="2"/>
      <c r="R60" s="2"/>
      <c r="S60" s="2"/>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row>
    <row r="61" spans="1:49" x14ac:dyDescent="0.3">
      <c r="A61" s="1"/>
      <c r="B61" s="10" t="s">
        <v>21</v>
      </c>
      <c r="C61" s="27">
        <f>C62+C65+C75</f>
        <v>1058479</v>
      </c>
      <c r="D61" s="27">
        <f t="shared" ref="D61:L61" si="8">D62+D65+D75</f>
        <v>364931</v>
      </c>
      <c r="E61" s="27">
        <f t="shared" si="8"/>
        <v>613230</v>
      </c>
      <c r="F61" s="27">
        <f t="shared" si="8"/>
        <v>1500814</v>
      </c>
      <c r="G61" s="27">
        <f t="shared" si="8"/>
        <v>2403136</v>
      </c>
      <c r="H61" s="27">
        <f t="shared" si="8"/>
        <v>3262602</v>
      </c>
      <c r="I61" s="27">
        <f t="shared" si="8"/>
        <v>2949667</v>
      </c>
      <c r="J61" s="27">
        <f t="shared" si="8"/>
        <v>3699227</v>
      </c>
      <c r="K61" s="27">
        <f t="shared" si="8"/>
        <v>2895139</v>
      </c>
      <c r="L61" s="27">
        <f t="shared" si="8"/>
        <v>2495416</v>
      </c>
      <c r="M61" s="2"/>
      <c r="N61" s="2"/>
      <c r="O61" s="2"/>
      <c r="P61" s="2"/>
      <c r="Q61" s="2"/>
      <c r="R61" s="2"/>
      <c r="S61" s="2"/>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row>
    <row r="62" spans="1:49" x14ac:dyDescent="0.3">
      <c r="A62" s="1"/>
      <c r="B62" s="13" t="s">
        <v>19</v>
      </c>
      <c r="C62" s="24">
        <v>2105</v>
      </c>
      <c r="D62" s="24">
        <v>1848</v>
      </c>
      <c r="E62" s="24">
        <v>1618</v>
      </c>
      <c r="F62" s="24">
        <v>1229789</v>
      </c>
      <c r="G62" s="24">
        <v>2084845</v>
      </c>
      <c r="H62" s="24">
        <v>2596073</v>
      </c>
      <c r="I62" s="24">
        <v>2680791</v>
      </c>
      <c r="J62" s="24">
        <v>2783473</v>
      </c>
      <c r="K62" s="24">
        <v>2515614</v>
      </c>
      <c r="L62" s="24">
        <f>L63+L64</f>
        <v>2228176</v>
      </c>
      <c r="M62" s="2"/>
      <c r="N62" s="2"/>
      <c r="O62" s="2"/>
      <c r="P62" s="2"/>
      <c r="Q62" s="2"/>
      <c r="R62" s="2"/>
      <c r="S62" s="2"/>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row>
    <row r="63" spans="1:49" x14ac:dyDescent="0.3">
      <c r="A63" s="1"/>
      <c r="B63" s="17" t="s">
        <v>89</v>
      </c>
      <c r="C63" s="24">
        <v>2105</v>
      </c>
      <c r="D63" s="24">
        <v>1848</v>
      </c>
      <c r="E63" s="24">
        <v>1618</v>
      </c>
      <c r="F63" s="24">
        <v>1229789</v>
      </c>
      <c r="G63" s="24">
        <v>1264193</v>
      </c>
      <c r="H63" s="24">
        <v>1342425</v>
      </c>
      <c r="I63" s="24">
        <v>1275974</v>
      </c>
      <c r="J63" s="24">
        <v>1607046</v>
      </c>
      <c r="K63" s="24">
        <v>1474142</v>
      </c>
      <c r="L63" s="24">
        <v>1407500</v>
      </c>
      <c r="M63" s="2"/>
      <c r="N63" s="2"/>
      <c r="O63" s="2"/>
      <c r="P63" s="2"/>
      <c r="Q63" s="2"/>
      <c r="R63" s="2"/>
      <c r="S63" s="2"/>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row>
    <row r="64" spans="1:49" x14ac:dyDescent="0.3">
      <c r="A64" s="1"/>
      <c r="B64" s="17" t="s">
        <v>88</v>
      </c>
      <c r="C64" s="24">
        <v>0</v>
      </c>
      <c r="D64" s="24">
        <v>0</v>
      </c>
      <c r="E64" s="24">
        <v>0</v>
      </c>
      <c r="F64" s="24">
        <v>0</v>
      </c>
      <c r="G64" s="24">
        <v>820652</v>
      </c>
      <c r="H64" s="24">
        <v>1253648</v>
      </c>
      <c r="I64" s="24">
        <v>1404817</v>
      </c>
      <c r="J64" s="24">
        <v>1176427</v>
      </c>
      <c r="K64" s="24">
        <v>1041472</v>
      </c>
      <c r="L64" s="24">
        <v>820676</v>
      </c>
      <c r="M64" s="2"/>
      <c r="N64" s="2"/>
      <c r="O64" s="2"/>
      <c r="P64" s="2"/>
      <c r="Q64" s="2"/>
      <c r="R64" s="2"/>
      <c r="S64" s="2"/>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row>
    <row r="65" spans="1:49" x14ac:dyDescent="0.3">
      <c r="A65" s="1"/>
      <c r="B65" s="13" t="s">
        <v>20</v>
      </c>
      <c r="C65" s="24">
        <v>736725</v>
      </c>
      <c r="D65" s="24">
        <v>42049</v>
      </c>
      <c r="E65" s="24">
        <v>349005</v>
      </c>
      <c r="F65" s="24">
        <v>37183</v>
      </c>
      <c r="G65" s="24">
        <v>88167</v>
      </c>
      <c r="H65" s="24">
        <v>497003</v>
      </c>
      <c r="I65" s="24">
        <v>86029</v>
      </c>
      <c r="J65" s="24">
        <v>627014</v>
      </c>
      <c r="K65" s="24">
        <v>86473</v>
      </c>
      <c r="L65" s="24">
        <f>L66+L68+L73</f>
        <v>80686</v>
      </c>
      <c r="M65" s="2"/>
      <c r="N65" s="2"/>
      <c r="O65" s="2"/>
      <c r="P65" s="2"/>
      <c r="Q65" s="2"/>
      <c r="R65" s="2"/>
      <c r="S65" s="2"/>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7" t="s">
        <v>90</v>
      </c>
      <c r="C66" s="24">
        <v>690606</v>
      </c>
      <c r="D66" s="24">
        <v>0</v>
      </c>
      <c r="E66" s="24">
        <v>313450</v>
      </c>
      <c r="F66" s="24">
        <v>0</v>
      </c>
      <c r="G66" s="24">
        <v>0</v>
      </c>
      <c r="H66" s="24">
        <v>0</v>
      </c>
      <c r="I66" s="24">
        <v>0</v>
      </c>
      <c r="J66" s="24">
        <v>0</v>
      </c>
      <c r="K66" s="24">
        <v>0</v>
      </c>
      <c r="L66" s="24">
        <v>0</v>
      </c>
      <c r="M66" s="2"/>
      <c r="N66" s="2"/>
      <c r="O66" s="2"/>
      <c r="P66" s="2"/>
      <c r="Q66" s="2"/>
      <c r="R66" s="2"/>
      <c r="S66" s="2"/>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row r="67" spans="1:49" x14ac:dyDescent="0.3">
      <c r="A67" s="1"/>
      <c r="B67" s="49" t="s">
        <v>948</v>
      </c>
      <c r="C67" s="24">
        <v>690606</v>
      </c>
      <c r="D67" s="24">
        <v>0</v>
      </c>
      <c r="E67" s="24">
        <v>313450</v>
      </c>
      <c r="F67" s="24">
        <v>0</v>
      </c>
      <c r="G67" s="24">
        <v>0</v>
      </c>
      <c r="H67" s="24">
        <v>0</v>
      </c>
      <c r="I67" s="24">
        <v>0</v>
      </c>
      <c r="J67" s="24">
        <v>0</v>
      </c>
      <c r="K67" s="24">
        <v>0</v>
      </c>
      <c r="L67" s="24">
        <v>0</v>
      </c>
      <c r="M67" s="2"/>
      <c r="N67" s="2"/>
      <c r="O67" s="2"/>
      <c r="P67" s="2"/>
      <c r="Q67" s="2"/>
      <c r="R67" s="2"/>
      <c r="S67" s="2"/>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row>
    <row r="68" spans="1:49" x14ac:dyDescent="0.3">
      <c r="A68" s="1"/>
      <c r="B68" s="17" t="s">
        <v>42</v>
      </c>
      <c r="C68" s="24">
        <v>46119</v>
      </c>
      <c r="D68" s="24">
        <v>42049</v>
      </c>
      <c r="E68" s="24">
        <v>35555</v>
      </c>
      <c r="F68" s="24">
        <v>37183</v>
      </c>
      <c r="G68" s="24">
        <v>88167</v>
      </c>
      <c r="H68" s="24">
        <v>497003</v>
      </c>
      <c r="I68" s="24">
        <v>86029</v>
      </c>
      <c r="J68" s="24">
        <v>627014</v>
      </c>
      <c r="K68" s="24">
        <v>86473</v>
      </c>
      <c r="L68" s="24">
        <f>L69+L70+L71+L72</f>
        <v>80686</v>
      </c>
      <c r="M68" s="2"/>
      <c r="N68" s="2"/>
      <c r="O68" s="2"/>
      <c r="P68" s="2"/>
      <c r="Q68" s="2"/>
      <c r="R68" s="2"/>
      <c r="S68" s="2"/>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row>
    <row r="69" spans="1:49" x14ac:dyDescent="0.3">
      <c r="A69" s="1"/>
      <c r="B69" s="49" t="s">
        <v>22</v>
      </c>
      <c r="C69" s="24">
        <v>0</v>
      </c>
      <c r="D69" s="24">
        <v>0</v>
      </c>
      <c r="E69" s="24">
        <v>0</v>
      </c>
      <c r="F69" s="24">
        <v>1073</v>
      </c>
      <c r="G69" s="24">
        <v>24997</v>
      </c>
      <c r="H69" s="24">
        <v>16212</v>
      </c>
      <c r="I69" s="24">
        <v>15863</v>
      </c>
      <c r="J69" s="24">
        <v>12410</v>
      </c>
      <c r="K69" s="24">
        <v>15389</v>
      </c>
      <c r="L69" s="24">
        <v>14325</v>
      </c>
      <c r="M69" s="2"/>
      <c r="N69" s="2"/>
      <c r="O69" s="2"/>
      <c r="P69" s="2"/>
      <c r="Q69" s="2"/>
      <c r="R69" s="2"/>
      <c r="S69" s="2"/>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row>
    <row r="70" spans="1:49" x14ac:dyDescent="0.3">
      <c r="A70" s="1"/>
      <c r="B70" s="49" t="s">
        <v>93</v>
      </c>
      <c r="C70" s="24">
        <v>5199</v>
      </c>
      <c r="D70" s="24">
        <v>3971</v>
      </c>
      <c r="E70" s="24">
        <v>4058</v>
      </c>
      <c r="F70" s="24">
        <v>3551</v>
      </c>
      <c r="G70" s="24">
        <v>4442</v>
      </c>
      <c r="H70" s="24">
        <v>5675</v>
      </c>
      <c r="I70" s="24">
        <v>7370</v>
      </c>
      <c r="J70" s="24">
        <v>18740</v>
      </c>
      <c r="K70" s="24">
        <v>20310</v>
      </c>
      <c r="L70" s="24">
        <v>16152</v>
      </c>
      <c r="M70" s="2"/>
      <c r="N70" s="2"/>
      <c r="O70" s="2"/>
      <c r="P70" s="2"/>
      <c r="Q70" s="2"/>
      <c r="R70" s="2"/>
      <c r="S70" s="2"/>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row>
    <row r="71" spans="1:49" x14ac:dyDescent="0.3">
      <c r="A71" s="1"/>
      <c r="B71" s="49" t="s">
        <v>17</v>
      </c>
      <c r="C71" s="24">
        <v>0</v>
      </c>
      <c r="D71" s="24">
        <v>0</v>
      </c>
      <c r="E71" s="24">
        <v>0</v>
      </c>
      <c r="F71" s="24">
        <v>0</v>
      </c>
      <c r="G71" s="24">
        <v>24810</v>
      </c>
      <c r="H71" s="24">
        <v>435060</v>
      </c>
      <c r="I71" s="24">
        <v>12570</v>
      </c>
      <c r="J71" s="24">
        <v>551248</v>
      </c>
      <c r="K71" s="24">
        <v>218</v>
      </c>
      <c r="L71" s="24">
        <v>0</v>
      </c>
      <c r="M71" s="2"/>
      <c r="N71" s="2"/>
      <c r="O71" s="2"/>
      <c r="P71" s="2"/>
      <c r="Q71" s="2"/>
      <c r="R71" s="2"/>
      <c r="S71" s="2"/>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row>
    <row r="72" spans="1:49" x14ac:dyDescent="0.3">
      <c r="A72" s="1"/>
      <c r="B72" s="49" t="s">
        <v>92</v>
      </c>
      <c r="C72" s="24">
        <v>40920</v>
      </c>
      <c r="D72" s="24">
        <v>38078</v>
      </c>
      <c r="E72" s="24">
        <v>31497</v>
      </c>
      <c r="F72" s="24">
        <v>32559</v>
      </c>
      <c r="G72" s="24">
        <v>33918</v>
      </c>
      <c r="H72" s="24">
        <v>40056</v>
      </c>
      <c r="I72" s="24">
        <v>50226</v>
      </c>
      <c r="J72" s="24">
        <v>44616</v>
      </c>
      <c r="K72" s="24">
        <v>50556</v>
      </c>
      <c r="L72" s="24">
        <v>50209</v>
      </c>
      <c r="M72" s="2"/>
      <c r="N72" s="2"/>
      <c r="O72" s="2"/>
      <c r="P72" s="2"/>
      <c r="Q72" s="2"/>
      <c r="R72" s="2"/>
      <c r="S72" s="2"/>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row>
    <row r="73" spans="1:49" x14ac:dyDescent="0.3">
      <c r="A73" s="1"/>
      <c r="B73" s="17" t="s">
        <v>11</v>
      </c>
      <c r="C73" s="24">
        <v>0</v>
      </c>
      <c r="D73" s="24">
        <v>0</v>
      </c>
      <c r="E73" s="24">
        <v>0</v>
      </c>
      <c r="F73" s="24">
        <v>45631</v>
      </c>
      <c r="G73" s="24">
        <v>0</v>
      </c>
      <c r="H73" s="24">
        <v>0</v>
      </c>
      <c r="I73" s="24">
        <v>0</v>
      </c>
      <c r="J73" s="24">
        <v>0</v>
      </c>
      <c r="K73" s="24">
        <v>0</v>
      </c>
      <c r="L73" s="24">
        <v>0</v>
      </c>
      <c r="M73" s="2"/>
      <c r="N73" s="2"/>
      <c r="O73" s="2"/>
      <c r="P73" s="2"/>
      <c r="Q73" s="2"/>
      <c r="R73" s="2"/>
      <c r="S73" s="2"/>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row>
    <row r="74" spans="1:49" x14ac:dyDescent="0.3">
      <c r="A74" s="1"/>
      <c r="B74" s="49" t="s">
        <v>950</v>
      </c>
      <c r="C74" s="24">
        <v>0</v>
      </c>
      <c r="D74" s="24">
        <v>0</v>
      </c>
      <c r="E74" s="24">
        <v>0</v>
      </c>
      <c r="F74" s="24">
        <v>45631</v>
      </c>
      <c r="G74" s="24">
        <v>0</v>
      </c>
      <c r="H74" s="24">
        <v>0</v>
      </c>
      <c r="I74" s="24">
        <v>0</v>
      </c>
      <c r="J74" s="24">
        <v>0</v>
      </c>
      <c r="K74" s="24">
        <v>0</v>
      </c>
      <c r="L74" s="24">
        <v>0</v>
      </c>
      <c r="M74" s="2"/>
      <c r="N74" s="2"/>
      <c r="O74" s="2"/>
      <c r="P74" s="2"/>
      <c r="Q74" s="2"/>
      <c r="R74" s="2"/>
      <c r="S74" s="2"/>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row>
    <row r="75" spans="1:49" x14ac:dyDescent="0.3">
      <c r="A75" s="1"/>
      <c r="B75" s="13" t="s">
        <v>94</v>
      </c>
      <c r="C75" s="24">
        <v>319649</v>
      </c>
      <c r="D75" s="24">
        <v>321034</v>
      </c>
      <c r="E75" s="24">
        <v>262607</v>
      </c>
      <c r="F75" s="24">
        <v>233842</v>
      </c>
      <c r="G75" s="24">
        <v>230124</v>
      </c>
      <c r="H75" s="24">
        <v>169526</v>
      </c>
      <c r="I75" s="24">
        <v>182847</v>
      </c>
      <c r="J75" s="24">
        <v>288740</v>
      </c>
      <c r="K75" s="24">
        <v>293052</v>
      </c>
      <c r="L75" s="24">
        <v>186554</v>
      </c>
      <c r="M75" s="2"/>
      <c r="N75" s="2"/>
      <c r="O75" s="2"/>
      <c r="P75" s="2"/>
      <c r="Q75" s="2"/>
      <c r="R75" s="2"/>
      <c r="S75" s="2"/>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row>
    <row r="76" spans="1:49" x14ac:dyDescent="0.3">
      <c r="A76" s="1"/>
      <c r="B76" s="17" t="s">
        <v>95</v>
      </c>
      <c r="C76" s="24">
        <v>260697</v>
      </c>
      <c r="D76" s="24">
        <v>321034</v>
      </c>
      <c r="E76" s="24">
        <v>262607</v>
      </c>
      <c r="F76" s="24">
        <v>233842</v>
      </c>
      <c r="G76" s="24">
        <v>230124</v>
      </c>
      <c r="H76" s="24">
        <v>169526</v>
      </c>
      <c r="I76" s="24">
        <v>182847</v>
      </c>
      <c r="J76" s="24">
        <v>288740</v>
      </c>
      <c r="K76" s="24">
        <v>293052</v>
      </c>
      <c r="L76" s="24">
        <v>186554</v>
      </c>
      <c r="M76" s="2"/>
      <c r="N76" s="2"/>
      <c r="O76" s="2"/>
      <c r="P76" s="2"/>
      <c r="Q76" s="2"/>
      <c r="R76" s="2"/>
      <c r="S76" s="2"/>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row>
    <row r="77" spans="1:49" x14ac:dyDescent="0.3">
      <c r="A77" s="1"/>
      <c r="B77" s="49" t="s">
        <v>96</v>
      </c>
      <c r="C77" s="24">
        <v>186979</v>
      </c>
      <c r="D77" s="24">
        <v>240376</v>
      </c>
      <c r="E77" s="24">
        <v>170657</v>
      </c>
      <c r="F77" s="24">
        <v>140199</v>
      </c>
      <c r="G77" s="24">
        <v>146246</v>
      </c>
      <c r="H77" s="24">
        <v>135721</v>
      </c>
      <c r="I77" s="24">
        <v>149691</v>
      </c>
      <c r="J77" s="24">
        <v>0</v>
      </c>
      <c r="K77" s="24">
        <v>0</v>
      </c>
      <c r="L77" s="24">
        <v>0</v>
      </c>
      <c r="M77" s="2"/>
      <c r="N77" s="2"/>
      <c r="O77" s="2"/>
      <c r="P77" s="2"/>
      <c r="Q77" s="2"/>
      <c r="R77" s="2"/>
      <c r="S77" s="2"/>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row>
    <row r="78" spans="1:49" x14ac:dyDescent="0.3">
      <c r="A78" s="1"/>
      <c r="B78" s="49" t="s">
        <v>97</v>
      </c>
      <c r="C78" s="24">
        <v>63217</v>
      </c>
      <c r="D78" s="24">
        <v>73831</v>
      </c>
      <c r="E78" s="24">
        <v>85476</v>
      </c>
      <c r="F78" s="24">
        <v>89505</v>
      </c>
      <c r="G78" s="24">
        <v>74994</v>
      </c>
      <c r="H78" s="24">
        <v>30095</v>
      </c>
      <c r="I78" s="24">
        <v>29371</v>
      </c>
      <c r="J78" s="24">
        <v>0</v>
      </c>
      <c r="K78" s="24">
        <v>0</v>
      </c>
      <c r="L78" s="24">
        <v>0</v>
      </c>
      <c r="M78" s="2"/>
      <c r="N78" s="2"/>
      <c r="O78" s="2"/>
      <c r="P78" s="2"/>
      <c r="Q78" s="2"/>
      <c r="R78" s="2"/>
      <c r="S78" s="2"/>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row>
    <row r="79" spans="1:49" x14ac:dyDescent="0.3">
      <c r="A79" s="1"/>
      <c r="B79" s="49" t="s">
        <v>98</v>
      </c>
      <c r="C79" s="24">
        <v>10501</v>
      </c>
      <c r="D79" s="24">
        <v>6827</v>
      </c>
      <c r="E79" s="24">
        <v>6474</v>
      </c>
      <c r="F79" s="24">
        <v>4138</v>
      </c>
      <c r="G79" s="24">
        <v>8884</v>
      </c>
      <c r="H79" s="24">
        <v>3710</v>
      </c>
      <c r="I79" s="24">
        <v>3785</v>
      </c>
      <c r="J79" s="24">
        <v>0</v>
      </c>
      <c r="K79" s="24">
        <v>0</v>
      </c>
      <c r="L79" s="24">
        <v>0</v>
      </c>
      <c r="M79" s="2"/>
      <c r="N79" s="2"/>
      <c r="O79" s="2"/>
      <c r="P79" s="2"/>
      <c r="Q79" s="2"/>
      <c r="R79" s="2"/>
      <c r="S79" s="2"/>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row>
    <row r="80" spans="1:49" x14ac:dyDescent="0.3">
      <c r="A80" s="1"/>
      <c r="B80" s="17" t="s">
        <v>99</v>
      </c>
      <c r="C80" s="24">
        <v>58952</v>
      </c>
      <c r="D80" s="24">
        <v>0</v>
      </c>
      <c r="E80" s="24">
        <v>0</v>
      </c>
      <c r="F80" s="24">
        <v>0</v>
      </c>
      <c r="G80" s="24">
        <v>0</v>
      </c>
      <c r="H80" s="24">
        <v>0</v>
      </c>
      <c r="I80" s="24">
        <v>0</v>
      </c>
      <c r="J80" s="24">
        <v>0</v>
      </c>
      <c r="K80" s="24">
        <v>0</v>
      </c>
      <c r="L80" s="24">
        <v>0</v>
      </c>
      <c r="M80" s="2"/>
      <c r="N80" s="2"/>
      <c r="O80" s="2"/>
      <c r="P80" s="2"/>
      <c r="Q80" s="2"/>
      <c r="R80" s="2"/>
      <c r="S80" s="2"/>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row>
    <row r="81" spans="1:49" x14ac:dyDescent="0.3">
      <c r="A81" s="1"/>
      <c r="B81" s="19" t="s">
        <v>23</v>
      </c>
      <c r="C81" s="27">
        <f>C82+C84+C86+C87+C88+C83+C85</f>
        <v>826288</v>
      </c>
      <c r="D81" s="27">
        <f t="shared" ref="D81:L81" si="9">D82+D84+D86+D87+D88+D83+D85</f>
        <v>1006513</v>
      </c>
      <c r="E81" s="27">
        <f t="shared" si="9"/>
        <v>1115039</v>
      </c>
      <c r="F81" s="27">
        <f t="shared" si="9"/>
        <v>2739570</v>
      </c>
      <c r="G81" s="27">
        <f t="shared" si="9"/>
        <v>2654800</v>
      </c>
      <c r="H81" s="27">
        <f t="shared" si="9"/>
        <v>2995009</v>
      </c>
      <c r="I81" s="27">
        <f t="shared" si="9"/>
        <v>3000196</v>
      </c>
      <c r="J81" s="27">
        <f t="shared" si="9"/>
        <v>2991075</v>
      </c>
      <c r="K81" s="27">
        <f t="shared" si="9"/>
        <v>3308488</v>
      </c>
      <c r="L81" s="27">
        <f t="shared" si="9"/>
        <v>3707056</v>
      </c>
      <c r="M81" s="2"/>
      <c r="N81" s="2"/>
      <c r="O81" s="2"/>
      <c r="P81" s="2"/>
      <c r="Q81" s="2"/>
      <c r="R81" s="2"/>
      <c r="S81" s="2"/>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row>
    <row r="82" spans="1:49" x14ac:dyDescent="0.3">
      <c r="A82" s="1"/>
      <c r="B82" s="13" t="s">
        <v>24</v>
      </c>
      <c r="C82" s="24">
        <v>890712</v>
      </c>
      <c r="D82" s="24">
        <v>1035720</v>
      </c>
      <c r="E82" s="24">
        <v>1035720</v>
      </c>
      <c r="F82" s="24">
        <v>1847177</v>
      </c>
      <c r="G82" s="24">
        <v>1847177</v>
      </c>
      <c r="H82" s="24">
        <v>1847177</v>
      </c>
      <c r="I82" s="24">
        <v>1847177</v>
      </c>
      <c r="J82" s="24">
        <v>1847177</v>
      </c>
      <c r="K82" s="24">
        <v>1847177</v>
      </c>
      <c r="L82" s="24">
        <v>1847177</v>
      </c>
      <c r="M82" s="2"/>
      <c r="N82" s="2"/>
      <c r="O82" s="2"/>
      <c r="P82" s="2"/>
      <c r="Q82" s="2"/>
      <c r="R82" s="2"/>
      <c r="S82" s="2"/>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row>
    <row r="83" spans="1:49" x14ac:dyDescent="0.3">
      <c r="A83" s="1"/>
      <c r="B83" s="13" t="s">
        <v>951</v>
      </c>
      <c r="C83" s="24">
        <v>0</v>
      </c>
      <c r="D83" s="24">
        <v>0</v>
      </c>
      <c r="E83" s="24">
        <v>0</v>
      </c>
      <c r="F83" s="24">
        <v>0</v>
      </c>
      <c r="G83" s="24">
        <v>0</v>
      </c>
      <c r="H83" s="24">
        <v>0</v>
      </c>
      <c r="I83" s="24">
        <v>0</v>
      </c>
      <c r="J83" s="24">
        <v>-8498</v>
      </c>
      <c r="K83" s="24">
        <v>-34365</v>
      </c>
      <c r="L83" s="24">
        <v>-48190</v>
      </c>
      <c r="M83" s="2"/>
      <c r="N83" s="2"/>
      <c r="O83" s="2"/>
      <c r="P83" s="2"/>
      <c r="Q83" s="2"/>
      <c r="R83" s="2"/>
      <c r="S83" s="2"/>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row>
    <row r="84" spans="1:49" x14ac:dyDescent="0.3">
      <c r="A84" s="1"/>
      <c r="B84" s="13" t="s">
        <v>25</v>
      </c>
      <c r="C84" s="24">
        <v>10516</v>
      </c>
      <c r="D84" s="24">
        <v>10516</v>
      </c>
      <c r="E84" s="24">
        <v>10516</v>
      </c>
      <c r="F84" s="24">
        <v>11647</v>
      </c>
      <c r="G84" s="24">
        <v>19375</v>
      </c>
      <c r="H84" s="24">
        <v>26499</v>
      </c>
      <c r="I84" s="24">
        <v>30863</v>
      </c>
      <c r="J84" s="24">
        <v>49879</v>
      </c>
      <c r="K84" s="24">
        <v>49287</v>
      </c>
      <c r="L84" s="24">
        <v>39243</v>
      </c>
      <c r="M84" s="2"/>
      <c r="N84" s="2"/>
      <c r="O84" s="2"/>
      <c r="P84" s="2"/>
      <c r="Q84" s="2"/>
      <c r="R84" s="2"/>
      <c r="S84" s="2"/>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row>
    <row r="85" spans="1:49" x14ac:dyDescent="0.3">
      <c r="A85" s="1"/>
      <c r="B85" s="13" t="s">
        <v>26</v>
      </c>
      <c r="C85" s="24">
        <v>0</v>
      </c>
      <c r="D85" s="24">
        <v>0</v>
      </c>
      <c r="E85" s="24">
        <v>0</v>
      </c>
      <c r="F85" s="24">
        <v>882914</v>
      </c>
      <c r="G85" s="24">
        <v>792570</v>
      </c>
      <c r="H85" s="24">
        <v>1121578</v>
      </c>
      <c r="I85" s="24">
        <v>1122409</v>
      </c>
      <c r="J85" s="24">
        <v>1103100</v>
      </c>
      <c r="K85" s="24">
        <v>1439134</v>
      </c>
      <c r="L85" s="24">
        <v>1868222</v>
      </c>
      <c r="M85" s="2"/>
      <c r="N85" s="2"/>
      <c r="O85" s="2"/>
      <c r="P85" s="2"/>
      <c r="Q85" s="2"/>
      <c r="R85" s="2"/>
      <c r="S85" s="2"/>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row>
    <row r="86" spans="1:49" x14ac:dyDescent="0.3">
      <c r="A86" s="1"/>
      <c r="B86" s="13" t="s">
        <v>952</v>
      </c>
      <c r="C86" s="24">
        <v>-70882</v>
      </c>
      <c r="D86" s="24">
        <v>-39675</v>
      </c>
      <c r="E86" s="24">
        <v>65042</v>
      </c>
      <c r="F86" s="24">
        <v>0</v>
      </c>
      <c r="G86" s="24">
        <v>0</v>
      </c>
      <c r="H86" s="24">
        <v>0</v>
      </c>
      <c r="I86" s="24">
        <v>0</v>
      </c>
      <c r="J86" s="24">
        <v>0</v>
      </c>
      <c r="K86" s="24">
        <v>0</v>
      </c>
      <c r="L86" s="24">
        <v>0</v>
      </c>
      <c r="M86" s="2"/>
      <c r="N86" s="2"/>
      <c r="O86" s="2"/>
      <c r="P86" s="2"/>
      <c r="Q86" s="2"/>
      <c r="R86" s="2"/>
      <c r="S86" s="2"/>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row>
    <row r="87" spans="1:49" x14ac:dyDescent="0.3">
      <c r="A87" s="1"/>
      <c r="B87" s="13" t="s">
        <v>27</v>
      </c>
      <c r="C87" s="24">
        <v>-4067</v>
      </c>
      <c r="D87" s="24">
        <v>-49</v>
      </c>
      <c r="E87" s="24">
        <v>3759</v>
      </c>
      <c r="F87" s="24">
        <v>-2170</v>
      </c>
      <c r="G87" s="24">
        <v>-4324</v>
      </c>
      <c r="H87" s="24">
        <v>-248</v>
      </c>
      <c r="I87" s="24">
        <v>-254</v>
      </c>
      <c r="J87" s="24">
        <v>-586</v>
      </c>
      <c r="K87" s="24">
        <v>7251</v>
      </c>
      <c r="L87" s="24">
        <v>602</v>
      </c>
      <c r="M87" s="2"/>
      <c r="N87" s="2"/>
      <c r="O87" s="2"/>
      <c r="P87" s="2"/>
      <c r="Q87" s="2"/>
      <c r="R87" s="2"/>
      <c r="S87" s="2"/>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row>
    <row r="88" spans="1:49" x14ac:dyDescent="0.3">
      <c r="A88" s="1"/>
      <c r="B88" s="13" t="s">
        <v>953</v>
      </c>
      <c r="C88" s="24">
        <v>9</v>
      </c>
      <c r="D88" s="24">
        <v>1</v>
      </c>
      <c r="E88" s="24">
        <v>2</v>
      </c>
      <c r="F88" s="24">
        <v>2</v>
      </c>
      <c r="G88" s="24">
        <v>2</v>
      </c>
      <c r="H88" s="24">
        <v>3</v>
      </c>
      <c r="I88" s="24">
        <v>1</v>
      </c>
      <c r="J88" s="24">
        <v>3</v>
      </c>
      <c r="K88" s="24">
        <v>4</v>
      </c>
      <c r="L88" s="24">
        <v>2</v>
      </c>
      <c r="M88" s="2"/>
      <c r="N88" s="2"/>
      <c r="O88" s="2"/>
      <c r="P88" s="2"/>
      <c r="Q88" s="2"/>
      <c r="R88" s="2"/>
      <c r="S88" s="2"/>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row>
    <row r="89" spans="1:49" x14ac:dyDescent="0.3">
      <c r="A89" s="1"/>
      <c r="B89" s="1"/>
      <c r="C89" s="2"/>
      <c r="D89" s="2"/>
      <c r="E89" s="2"/>
      <c r="F89" s="2"/>
      <c r="G89" s="2"/>
      <c r="H89" s="2"/>
      <c r="I89" s="2"/>
      <c r="J89" s="2"/>
      <c r="K89" s="2"/>
      <c r="L89" s="2"/>
      <c r="M89" s="2"/>
      <c r="N89" s="2"/>
      <c r="O89" s="2"/>
      <c r="P89" s="2"/>
      <c r="Q89" s="2"/>
      <c r="R89" s="2"/>
      <c r="S89" s="2"/>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row>
    <row r="90" spans="1:49" x14ac:dyDescent="0.3">
      <c r="A90" s="1"/>
      <c r="B90" s="1"/>
      <c r="C90" s="2"/>
      <c r="D90" s="2"/>
      <c r="E90" s="2"/>
      <c r="F90" s="2"/>
      <c r="G90" s="2"/>
      <c r="H90" s="2"/>
      <c r="I90" s="2"/>
      <c r="J90" s="2"/>
      <c r="K90" s="2"/>
      <c r="L90" s="2"/>
      <c r="M90" s="2"/>
      <c r="N90" s="2"/>
      <c r="O90" s="2"/>
      <c r="P90" s="2"/>
      <c r="Q90" s="2"/>
      <c r="R90" s="2"/>
      <c r="S90" s="2"/>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row>
    <row r="91" spans="1:49" x14ac:dyDescent="0.3">
      <c r="A91" s="1"/>
      <c r="B91" s="1"/>
      <c r="C91" s="2"/>
      <c r="D91" s="2"/>
      <c r="E91" s="2"/>
      <c r="F91" s="2"/>
      <c r="G91" s="2"/>
      <c r="H91" s="2"/>
      <c r="I91" s="2"/>
      <c r="J91" s="2"/>
      <c r="K91" s="2"/>
      <c r="L91" s="2"/>
      <c r="M91" s="2"/>
      <c r="N91" s="2"/>
      <c r="O91" s="2"/>
      <c r="P91" s="2"/>
      <c r="Q91" s="2"/>
      <c r="R91" s="2"/>
      <c r="S91" s="2"/>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row>
    <row r="92" spans="1:49" x14ac:dyDescent="0.3">
      <c r="A92" s="1"/>
      <c r="B92" s="1"/>
      <c r="C92" s="2"/>
      <c r="D92" s="2"/>
      <c r="E92" s="2"/>
      <c r="F92" s="2"/>
      <c r="G92" s="2"/>
      <c r="H92" s="2"/>
      <c r="I92" s="2"/>
      <c r="J92" s="2"/>
      <c r="K92" s="2"/>
      <c r="L92" s="2"/>
      <c r="M92" s="2"/>
      <c r="N92" s="2"/>
      <c r="O92" s="2"/>
      <c r="P92" s="2"/>
      <c r="Q92" s="2"/>
      <c r="R92" s="2"/>
      <c r="S92" s="2"/>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row>
    <row r="93" spans="1:49" x14ac:dyDescent="0.3">
      <c r="A93" s="1"/>
      <c r="B93" s="1"/>
      <c r="C93" s="2"/>
      <c r="D93" s="2"/>
      <c r="E93" s="2"/>
      <c r="F93" s="2"/>
      <c r="G93" s="2"/>
      <c r="H93" s="2"/>
      <c r="I93" s="2"/>
      <c r="J93" s="2"/>
      <c r="K93" s="2"/>
      <c r="L93" s="2"/>
      <c r="M93" s="2"/>
      <c r="N93" s="2"/>
      <c r="O93" s="2"/>
      <c r="P93" s="2"/>
      <c r="Q93" s="2"/>
      <c r="R93" s="2"/>
      <c r="S93" s="2"/>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row>
    <row r="94" spans="1:49" x14ac:dyDescent="0.3">
      <c r="A94" s="1"/>
      <c r="B94" s="1"/>
      <c r="C94" s="2"/>
      <c r="D94" s="2"/>
      <c r="E94" s="2"/>
      <c r="F94" s="2"/>
      <c r="G94" s="2"/>
      <c r="H94" s="2"/>
      <c r="I94" s="2"/>
      <c r="J94" s="2"/>
      <c r="K94" s="2"/>
      <c r="L94" s="2"/>
      <c r="M94" s="2"/>
      <c r="N94" s="2"/>
      <c r="O94" s="2"/>
      <c r="P94" s="2"/>
      <c r="Q94" s="2"/>
      <c r="R94" s="2"/>
      <c r="S94" s="2"/>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row>
    <row r="95" spans="1:49" x14ac:dyDescent="0.3">
      <c r="A95" s="1"/>
      <c r="B95" s="1"/>
      <c r="C95" s="2"/>
      <c r="D95" s="2"/>
      <c r="E95" s="2"/>
      <c r="F95" s="2"/>
      <c r="G95" s="2"/>
      <c r="H95" s="2"/>
      <c r="I95" s="2"/>
      <c r="J95" s="2"/>
      <c r="K95" s="2"/>
      <c r="L95" s="2"/>
      <c r="M95" s="2"/>
      <c r="N95" s="2"/>
      <c r="O95" s="2"/>
      <c r="P95" s="2"/>
      <c r="Q95" s="2"/>
      <c r="R95" s="2"/>
      <c r="S95" s="2"/>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row>
    <row r="96" spans="1:49" x14ac:dyDescent="0.3">
      <c r="A96" s="1"/>
      <c r="B96" s="1"/>
      <c r="C96" s="2"/>
      <c r="D96" s="2"/>
      <c r="E96" s="2"/>
      <c r="F96" s="2"/>
      <c r="G96" s="2"/>
      <c r="H96" s="2"/>
      <c r="I96" s="2"/>
      <c r="J96" s="2"/>
      <c r="K96" s="2"/>
      <c r="L96" s="2"/>
      <c r="M96" s="2"/>
      <c r="N96" s="2"/>
      <c r="O96" s="2"/>
      <c r="P96" s="2"/>
      <c r="Q96" s="2"/>
      <c r="R96" s="2"/>
      <c r="S96" s="2"/>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row>
    <row r="97" spans="1:49" x14ac:dyDescent="0.3">
      <c r="A97" s="1"/>
      <c r="B97" s="1"/>
      <c r="C97" s="2"/>
      <c r="D97" s="2"/>
      <c r="E97" s="2"/>
      <c r="F97" s="2"/>
      <c r="G97" s="2"/>
      <c r="H97" s="2"/>
      <c r="I97" s="2"/>
      <c r="J97" s="2"/>
      <c r="K97" s="2"/>
      <c r="L97" s="2"/>
      <c r="M97" s="2"/>
      <c r="N97" s="2"/>
      <c r="O97" s="2"/>
      <c r="P97" s="2"/>
      <c r="Q97" s="2"/>
      <c r="R97" s="2"/>
      <c r="S97" s="2"/>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row>
    <row r="98" spans="1:49" x14ac:dyDescent="0.3">
      <c r="A98" s="1"/>
      <c r="B98" s="1"/>
      <c r="C98" s="2"/>
      <c r="D98" s="2"/>
      <c r="E98" s="2"/>
      <c r="F98" s="2"/>
      <c r="G98" s="2"/>
      <c r="H98" s="2"/>
      <c r="I98" s="2"/>
      <c r="J98" s="2"/>
      <c r="K98" s="2"/>
      <c r="L98" s="2"/>
      <c r="M98" s="2"/>
      <c r="N98" s="2"/>
      <c r="O98" s="2"/>
      <c r="P98" s="2"/>
      <c r="Q98" s="2"/>
      <c r="R98" s="2"/>
      <c r="S98" s="2"/>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row>
    <row r="99" spans="1:49" x14ac:dyDescent="0.3">
      <c r="A99" s="1"/>
      <c r="B99" s="1"/>
      <c r="C99" s="2"/>
      <c r="D99" s="2"/>
      <c r="E99" s="2"/>
      <c r="F99" s="2"/>
      <c r="G99" s="2"/>
      <c r="H99" s="2"/>
      <c r="I99" s="2"/>
      <c r="J99" s="2"/>
      <c r="K99" s="2"/>
      <c r="L99" s="2"/>
      <c r="M99" s="2"/>
      <c r="N99" s="2"/>
      <c r="O99" s="2"/>
      <c r="P99" s="2"/>
      <c r="Q99" s="2"/>
      <c r="R99" s="2"/>
      <c r="S99" s="2"/>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row>
    <row r="100" spans="1:49" x14ac:dyDescent="0.3">
      <c r="A100" s="1"/>
      <c r="B100" s="1"/>
      <c r="C100" s="2"/>
      <c r="D100" s="2"/>
      <c r="E100" s="2"/>
      <c r="F100" s="2"/>
      <c r="G100" s="2"/>
      <c r="H100" s="2"/>
      <c r="I100" s="2"/>
      <c r="J100" s="2"/>
      <c r="K100" s="2"/>
      <c r="L100" s="2"/>
      <c r="M100" s="2"/>
      <c r="N100" s="2"/>
      <c r="O100" s="2"/>
      <c r="P100" s="2"/>
      <c r="Q100" s="2"/>
      <c r="R100" s="2"/>
      <c r="S100" s="2"/>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row>
    <row r="101" spans="1:49" x14ac:dyDescent="0.3">
      <c r="A101" s="1"/>
      <c r="B101" s="1"/>
      <c r="C101" s="2"/>
      <c r="D101" s="2"/>
      <c r="E101" s="2"/>
      <c r="F101" s="2"/>
      <c r="G101" s="2"/>
      <c r="H101" s="2"/>
      <c r="I101" s="2"/>
      <c r="J101" s="2"/>
      <c r="K101" s="2"/>
      <c r="L101" s="2"/>
      <c r="M101" s="2"/>
      <c r="N101" s="2"/>
      <c r="O101" s="2"/>
      <c r="P101" s="2"/>
      <c r="Q101" s="2"/>
      <c r="R101" s="2"/>
      <c r="S101" s="2"/>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row>
    <row r="102" spans="1:49" x14ac:dyDescent="0.3">
      <c r="A102" s="1"/>
      <c r="B102" s="1"/>
      <c r="C102" s="2"/>
      <c r="D102" s="2"/>
      <c r="E102" s="2"/>
      <c r="F102" s="2"/>
      <c r="G102" s="2"/>
      <c r="H102" s="2"/>
      <c r="I102" s="2"/>
      <c r="J102" s="2"/>
      <c r="K102" s="2"/>
      <c r="L102" s="2"/>
      <c r="M102" s="2"/>
      <c r="N102" s="2"/>
      <c r="O102" s="2"/>
      <c r="P102" s="2"/>
      <c r="Q102" s="2"/>
      <c r="R102" s="2"/>
      <c r="S102" s="2"/>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row>
    <row r="103" spans="1:49" x14ac:dyDescent="0.3">
      <c r="A103" s="1"/>
      <c r="B103" s="1"/>
      <c r="C103" s="2"/>
      <c r="D103" s="2"/>
      <c r="E103" s="2"/>
      <c r="F103" s="2"/>
      <c r="G103" s="2"/>
      <c r="H103" s="2"/>
      <c r="I103" s="2"/>
      <c r="J103" s="2"/>
      <c r="K103" s="2"/>
      <c r="L103" s="2"/>
      <c r="M103" s="2"/>
      <c r="N103" s="2"/>
      <c r="O103" s="2"/>
      <c r="P103" s="2"/>
      <c r="Q103" s="2"/>
      <c r="R103" s="2"/>
      <c r="S103" s="2"/>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row>
    <row r="104" spans="1:49" x14ac:dyDescent="0.3">
      <c r="A104" s="1"/>
      <c r="B104" s="1"/>
      <c r="C104" s="2"/>
      <c r="D104" s="2"/>
      <c r="E104" s="2"/>
      <c r="F104" s="2"/>
      <c r="G104" s="2"/>
      <c r="H104" s="2"/>
      <c r="I104" s="2"/>
      <c r="J104" s="2"/>
      <c r="K104" s="2"/>
      <c r="L104" s="2"/>
      <c r="M104" s="2"/>
      <c r="N104" s="2"/>
      <c r="O104" s="2"/>
      <c r="P104" s="2"/>
      <c r="Q104" s="2"/>
      <c r="R104" s="2"/>
      <c r="S104" s="2"/>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row>
    <row r="105" spans="1:49" x14ac:dyDescent="0.3">
      <c r="A105" s="1"/>
      <c r="B105" s="1"/>
      <c r="C105" s="2"/>
      <c r="D105" s="2"/>
      <c r="E105" s="2"/>
      <c r="F105" s="2"/>
      <c r="G105" s="2"/>
      <c r="H105" s="2"/>
      <c r="I105" s="2"/>
      <c r="J105" s="2"/>
      <c r="K105" s="2"/>
      <c r="L105" s="2"/>
      <c r="M105" s="2"/>
      <c r="N105" s="2"/>
      <c r="O105" s="2"/>
      <c r="P105" s="2"/>
      <c r="Q105" s="2"/>
      <c r="R105" s="2"/>
      <c r="S105" s="2"/>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row>
    <row r="106" spans="1:49" x14ac:dyDescent="0.3">
      <c r="A106" s="1"/>
      <c r="B106" s="1"/>
      <c r="C106" s="2"/>
      <c r="D106" s="2"/>
      <c r="E106" s="2"/>
      <c r="F106" s="2"/>
      <c r="G106" s="2"/>
      <c r="H106" s="2"/>
      <c r="I106" s="2"/>
      <c r="J106" s="2"/>
      <c r="K106" s="2"/>
      <c r="L106" s="2"/>
      <c r="M106" s="2"/>
      <c r="N106" s="2"/>
      <c r="O106" s="2"/>
      <c r="P106" s="2"/>
      <c r="Q106" s="2"/>
      <c r="R106" s="2"/>
      <c r="S106" s="2"/>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row>
    <row r="107" spans="1:49" x14ac:dyDescent="0.3">
      <c r="A107" s="1"/>
      <c r="B107" s="1"/>
      <c r="C107" s="2"/>
      <c r="D107" s="2"/>
      <c r="E107" s="2"/>
      <c r="F107" s="2"/>
      <c r="G107" s="2"/>
      <c r="H107" s="2"/>
      <c r="I107" s="2"/>
      <c r="J107" s="2"/>
      <c r="K107" s="2"/>
      <c r="L107" s="2"/>
      <c r="M107" s="2"/>
      <c r="N107" s="2"/>
      <c r="O107" s="2"/>
      <c r="P107" s="2"/>
      <c r="Q107" s="2"/>
      <c r="R107" s="2"/>
      <c r="S107" s="2"/>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row>
    <row r="108" spans="1:49" x14ac:dyDescent="0.3">
      <c r="A108" s="1"/>
      <c r="B108" s="1"/>
      <c r="C108" s="2"/>
      <c r="D108" s="2"/>
      <c r="E108" s="2"/>
      <c r="F108" s="2"/>
      <c r="G108" s="2"/>
      <c r="H108" s="2"/>
      <c r="I108" s="2"/>
      <c r="J108" s="2"/>
      <c r="K108" s="2"/>
      <c r="L108" s="2"/>
      <c r="M108" s="2"/>
      <c r="N108" s="2"/>
      <c r="O108" s="2"/>
      <c r="P108" s="2"/>
      <c r="Q108" s="2"/>
      <c r="R108" s="2"/>
      <c r="S108" s="2"/>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row>
    <row r="109" spans="1:49" x14ac:dyDescent="0.3">
      <c r="A109" s="1"/>
      <c r="B109" s="1"/>
      <c r="C109" s="2"/>
      <c r="D109" s="2"/>
      <c r="E109" s="2"/>
      <c r="F109" s="2"/>
      <c r="G109" s="2"/>
      <c r="H109" s="2"/>
      <c r="I109" s="2"/>
      <c r="J109" s="2"/>
      <c r="K109" s="2"/>
      <c r="L109" s="2"/>
      <c r="M109" s="2"/>
      <c r="N109" s="2"/>
      <c r="O109" s="2"/>
      <c r="P109" s="2"/>
      <c r="Q109" s="2"/>
      <c r="R109" s="2"/>
      <c r="S109" s="2"/>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row>
    <row r="110" spans="1:49" x14ac:dyDescent="0.3">
      <c r="A110" s="1"/>
      <c r="B110" s="1"/>
      <c r="C110" s="2"/>
      <c r="D110" s="2"/>
      <c r="E110" s="2"/>
      <c r="F110" s="2"/>
      <c r="G110" s="2"/>
      <c r="H110" s="2"/>
      <c r="I110" s="2"/>
      <c r="J110" s="2"/>
      <c r="K110" s="2"/>
      <c r="L110" s="2"/>
      <c r="M110" s="2"/>
      <c r="N110" s="2"/>
      <c r="O110" s="2"/>
      <c r="P110" s="2"/>
      <c r="Q110" s="2"/>
      <c r="R110" s="2"/>
      <c r="S110" s="2"/>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row>
    <row r="111" spans="1:49" x14ac:dyDescent="0.3">
      <c r="A111" s="1"/>
      <c r="B111" s="1"/>
      <c r="C111" s="2"/>
      <c r="D111" s="2"/>
      <c r="E111" s="2"/>
      <c r="F111" s="2"/>
      <c r="G111" s="2"/>
      <c r="H111" s="2"/>
      <c r="I111" s="2"/>
      <c r="J111" s="2"/>
      <c r="K111" s="2"/>
      <c r="L111" s="2"/>
      <c r="M111" s="2"/>
      <c r="N111" s="2"/>
      <c r="O111" s="2"/>
      <c r="P111" s="2"/>
      <c r="Q111" s="2"/>
      <c r="R111" s="2"/>
      <c r="S111" s="2"/>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row>
    <row r="112" spans="1:49" x14ac:dyDescent="0.3">
      <c r="A112" s="1"/>
      <c r="B112" s="1"/>
      <c r="C112" s="2"/>
      <c r="D112" s="2"/>
      <c r="E112" s="2"/>
      <c r="F112" s="2"/>
      <c r="G112" s="2"/>
      <c r="H112" s="2"/>
      <c r="I112" s="2"/>
      <c r="J112" s="2"/>
      <c r="K112" s="2"/>
      <c r="L112" s="2"/>
      <c r="M112" s="2"/>
      <c r="N112" s="2"/>
      <c r="O112" s="2"/>
      <c r="P112" s="2"/>
      <c r="Q112" s="2"/>
      <c r="R112" s="2"/>
      <c r="S112" s="2"/>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row>
    <row r="113" spans="1:49" x14ac:dyDescent="0.3">
      <c r="A113" s="1"/>
      <c r="B113" s="1"/>
      <c r="C113" s="2"/>
      <c r="D113" s="2"/>
      <c r="E113" s="2"/>
      <c r="F113" s="2"/>
      <c r="G113" s="2"/>
      <c r="H113" s="2"/>
      <c r="I113" s="2"/>
      <c r="J113" s="2"/>
      <c r="K113" s="2"/>
      <c r="L113" s="2"/>
      <c r="M113" s="2"/>
      <c r="N113" s="2"/>
      <c r="O113" s="2"/>
      <c r="P113" s="2"/>
      <c r="Q113" s="2"/>
      <c r="R113" s="2"/>
      <c r="S113" s="2"/>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row>
    <row r="114" spans="1:49" x14ac:dyDescent="0.3">
      <c r="A114" s="1"/>
      <c r="B114" s="1"/>
      <c r="C114" s="2"/>
      <c r="D114" s="2"/>
      <c r="E114" s="2"/>
      <c r="F114" s="2"/>
      <c r="G114" s="2"/>
      <c r="H114" s="2"/>
      <c r="I114" s="2"/>
      <c r="J114" s="2"/>
      <c r="K114" s="2"/>
      <c r="L114" s="2"/>
      <c r="M114" s="2"/>
      <c r="N114" s="2"/>
      <c r="O114" s="2"/>
      <c r="P114" s="2"/>
      <c r="Q114" s="2"/>
      <c r="R114" s="2"/>
      <c r="S114" s="2"/>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row>
    <row r="115" spans="1:49" x14ac:dyDescent="0.3">
      <c r="A115" s="1"/>
      <c r="B115" s="1"/>
      <c r="C115" s="2"/>
      <c r="D115" s="2"/>
      <c r="E115" s="2"/>
      <c r="F115" s="2"/>
      <c r="G115" s="2"/>
      <c r="H115" s="2"/>
      <c r="I115" s="2"/>
      <c r="J115" s="2"/>
      <c r="K115" s="2"/>
      <c r="L115" s="2"/>
      <c r="M115" s="2"/>
      <c r="N115" s="2"/>
      <c r="O115" s="2"/>
      <c r="P115" s="2"/>
      <c r="Q115" s="2"/>
      <c r="R115" s="2"/>
      <c r="S115" s="2"/>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row>
    <row r="116" spans="1:49" x14ac:dyDescent="0.3">
      <c r="A116" s="1"/>
      <c r="B116" s="1"/>
      <c r="C116" s="2"/>
      <c r="D116" s="2"/>
      <c r="E116" s="2"/>
      <c r="F116" s="2"/>
      <c r="G116" s="2"/>
      <c r="H116" s="2"/>
      <c r="I116" s="2"/>
      <c r="J116" s="2"/>
      <c r="K116" s="2"/>
      <c r="L116" s="2"/>
      <c r="M116" s="2"/>
      <c r="N116" s="2"/>
      <c r="O116" s="2"/>
      <c r="P116" s="2"/>
      <c r="Q116" s="2"/>
      <c r="R116" s="2"/>
      <c r="S116" s="2"/>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row>
  </sheetData>
  <conditionalFormatting sqref="B8:B9">
    <cfRule type="cellIs" dxfId="12" priority="1" operator="equal">
      <formula>0</formula>
    </cfRule>
  </conditionalFormatting>
  <conditionalFormatting sqref="C5:L88">
    <cfRule type="cellIs" dxfId="11" priority="2" operator="equal">
      <formula>0</formula>
    </cfRule>
  </conditionalFormatting>
  <pageMargins left="0.511811024" right="0.511811024" top="0.78740157499999996" bottom="0.78740157499999996" header="0.31496062000000002" footer="0.31496062000000002"/>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520D3-8517-423E-82AE-E802830F1569}">
  <sheetPr codeName="Planilha4"/>
  <dimension ref="A1:AX312"/>
  <sheetViews>
    <sheetView showGridLines="0" zoomScale="70" zoomScaleNormal="70" workbookViewId="0">
      <pane xSplit="2" ySplit="7" topLeftCell="C25" activePane="bottomRight" state="frozen"/>
      <selection pane="topRight" activeCell="C1" sqref="C1"/>
      <selection pane="bottomLeft" activeCell="A8" sqref="A8"/>
      <selection pane="bottomRight"/>
    </sheetView>
  </sheetViews>
  <sheetFormatPr defaultColWidth="12.5546875" defaultRowHeight="14.4" outlineLevelRow="1" x14ac:dyDescent="0.3"/>
  <cols>
    <col min="1" max="1" width="12.5546875" style="3"/>
    <col min="2" max="2" width="50" style="3" customWidth="1"/>
    <col min="3" max="9" width="14.109375" style="8" customWidth="1"/>
    <col min="10" max="11" width="12.5546875" style="8"/>
    <col min="12" max="12" width="12.21875" style="8" bestFit="1" customWidth="1"/>
    <col min="13" max="16" width="13.5546875" style="8" bestFit="1" customWidth="1"/>
    <col min="17" max="18" width="12.5546875" style="8"/>
    <col min="19" max="19" width="37.33203125" style="81" customWidth="1"/>
    <col min="20" max="20" width="12.5546875" style="8"/>
    <col min="21" max="16384" width="12.5546875" style="3"/>
  </cols>
  <sheetData>
    <row r="1" spans="1:50" ht="18" customHeight="1" x14ac:dyDescent="0.3">
      <c r="A1" s="1"/>
      <c r="B1" s="1"/>
      <c r="C1" s="2"/>
      <c r="D1" s="2"/>
      <c r="E1" s="2"/>
      <c r="F1" s="2"/>
      <c r="G1" s="2"/>
      <c r="H1" s="2"/>
      <c r="I1" s="2"/>
      <c r="J1" s="2"/>
      <c r="K1" s="2"/>
      <c r="L1" s="2"/>
      <c r="M1" s="2"/>
      <c r="N1" s="2"/>
      <c r="O1" s="2"/>
      <c r="P1" s="2"/>
      <c r="Q1" s="2"/>
      <c r="R1" s="2"/>
      <c r="S1" s="79"/>
      <c r="T1" s="2"/>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spans="1:50" ht="18" customHeight="1" x14ac:dyDescent="0.3">
      <c r="A2" s="1"/>
      <c r="B2" s="1"/>
      <c r="C2" s="1"/>
      <c r="D2" s="2"/>
      <c r="E2" s="2"/>
      <c r="F2" s="2"/>
      <c r="G2" s="2"/>
      <c r="H2" s="2"/>
      <c r="I2" s="2"/>
      <c r="J2" s="2"/>
      <c r="K2" s="2"/>
      <c r="L2" s="2"/>
      <c r="M2" s="2"/>
      <c r="N2" s="2"/>
      <c r="O2" s="2"/>
      <c r="P2" s="2"/>
      <c r="Q2" s="2"/>
      <c r="R2" s="2"/>
      <c r="S2" s="79"/>
      <c r="T2" s="2"/>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r="3" spans="1:50" ht="18" customHeight="1" x14ac:dyDescent="0.3">
      <c r="A3" s="1"/>
      <c r="B3" s="1"/>
      <c r="C3" s="2"/>
      <c r="D3" s="2"/>
      <c r="E3" s="2"/>
      <c r="F3" s="2"/>
      <c r="G3" s="2"/>
      <c r="H3" s="2"/>
      <c r="I3" s="2"/>
      <c r="J3" s="2"/>
      <c r="K3" s="2"/>
      <c r="L3" s="2"/>
      <c r="M3" s="2"/>
      <c r="N3" s="2"/>
      <c r="O3" s="2"/>
      <c r="P3" s="2"/>
      <c r="Q3" s="154"/>
      <c r="R3" s="2"/>
      <c r="S3" s="79"/>
      <c r="T3" s="2"/>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row>
    <row r="4" spans="1:50" ht="18" customHeight="1" x14ac:dyDescent="0.3">
      <c r="A4" s="1"/>
      <c r="B4" s="1"/>
      <c r="C4" s="2"/>
      <c r="D4" s="2"/>
      <c r="E4" s="2"/>
      <c r="F4" s="2"/>
      <c r="G4" s="2"/>
      <c r="H4" s="2"/>
      <c r="I4" s="2"/>
      <c r="J4" s="2"/>
      <c r="K4" s="2"/>
      <c r="L4" s="2"/>
      <c r="M4" s="106"/>
      <c r="N4" s="106"/>
      <c r="O4" s="106"/>
      <c r="P4" s="106"/>
      <c r="Q4" s="106"/>
      <c r="R4" s="106"/>
      <c r="S4" s="79"/>
      <c r="T4" s="2"/>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row>
    <row r="5" spans="1:50" ht="18" customHeight="1" x14ac:dyDescent="0.3">
      <c r="A5" s="1"/>
      <c r="B5" s="1"/>
      <c r="C5" s="2"/>
      <c r="D5" s="2"/>
      <c r="E5" s="2"/>
      <c r="F5" s="2"/>
      <c r="G5" s="2"/>
      <c r="H5" s="2"/>
      <c r="I5" s="2"/>
      <c r="J5" s="2"/>
      <c r="K5" s="2"/>
      <c r="L5" s="2"/>
      <c r="M5" s="2"/>
      <c r="N5" s="2"/>
      <c r="O5" s="2"/>
      <c r="P5" s="2"/>
      <c r="Q5" s="2"/>
      <c r="R5" s="2"/>
      <c r="S5" s="79"/>
      <c r="T5" s="2"/>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row>
    <row r="6" spans="1:50" ht="18" customHeight="1" x14ac:dyDescent="0.3">
      <c r="A6" s="1"/>
      <c r="B6" s="1"/>
      <c r="C6" s="2"/>
      <c r="D6" s="2"/>
      <c r="E6" s="2"/>
      <c r="F6" s="2"/>
      <c r="G6" s="2"/>
      <c r="H6" s="2"/>
      <c r="I6" s="2"/>
      <c r="J6" s="2"/>
      <c r="K6" s="2"/>
      <c r="L6" s="2"/>
      <c r="M6" s="2"/>
      <c r="N6" s="2"/>
      <c r="O6" s="2"/>
      <c r="P6" s="2"/>
      <c r="Q6" s="2"/>
      <c r="R6" s="2"/>
      <c r="S6" s="79"/>
      <c r="T6" s="2"/>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row>
    <row r="7" spans="1:50" ht="18" customHeight="1" thickBot="1" x14ac:dyDescent="0.35">
      <c r="A7" s="1"/>
      <c r="B7" s="1"/>
      <c r="C7" s="66">
        <v>2016</v>
      </c>
      <c r="D7" s="66">
        <f t="shared" ref="D7:J7" si="0">C7+1</f>
        <v>2017</v>
      </c>
      <c r="E7" s="66">
        <f t="shared" si="0"/>
        <v>2018</v>
      </c>
      <c r="F7" s="66">
        <f t="shared" si="0"/>
        <v>2019</v>
      </c>
      <c r="G7" s="66">
        <f t="shared" si="0"/>
        <v>2020</v>
      </c>
      <c r="H7" s="66">
        <f t="shared" si="0"/>
        <v>2021</v>
      </c>
      <c r="I7" s="66">
        <f t="shared" si="0"/>
        <v>2022</v>
      </c>
      <c r="J7" s="66">
        <f t="shared" si="0"/>
        <v>2023</v>
      </c>
      <c r="K7" s="66">
        <v>2024</v>
      </c>
      <c r="L7" s="66">
        <v>2025</v>
      </c>
      <c r="M7" s="138">
        <v>2026</v>
      </c>
      <c r="N7" s="138">
        <v>2027</v>
      </c>
      <c r="O7" s="138">
        <v>2028</v>
      </c>
      <c r="P7" s="138">
        <v>2029</v>
      </c>
      <c r="Q7" s="138" t="s">
        <v>954</v>
      </c>
      <c r="R7" s="138"/>
      <c r="S7" s="147" t="s">
        <v>501</v>
      </c>
      <c r="T7" s="2"/>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row>
    <row r="8" spans="1:50" ht="18" customHeight="1" x14ac:dyDescent="0.3">
      <c r="A8" s="1"/>
      <c r="B8" s="52" t="s">
        <v>510</v>
      </c>
      <c r="C8" s="73">
        <v>0</v>
      </c>
      <c r="D8" s="73">
        <v>0</v>
      </c>
      <c r="E8" s="73">
        <v>6566431</v>
      </c>
      <c r="F8" s="73">
        <v>6841105</v>
      </c>
      <c r="G8" s="73">
        <v>5268775</v>
      </c>
      <c r="H8" s="73">
        <v>6695896</v>
      </c>
      <c r="I8" s="73">
        <v>8000354</v>
      </c>
      <c r="J8" s="73">
        <v>8734788</v>
      </c>
      <c r="K8" s="73">
        <f>9989.65020280392*1000</f>
        <v>9989650.2028039191</v>
      </c>
      <c r="L8" s="73">
        <f>10541.109394622*1000</f>
        <v>10541109.394622</v>
      </c>
      <c r="M8" s="129">
        <v>0</v>
      </c>
      <c r="N8" s="129">
        <v>0</v>
      </c>
      <c r="O8" s="129">
        <v>0</v>
      </c>
      <c r="P8" s="129">
        <v>0</v>
      </c>
      <c r="Q8" s="130"/>
      <c r="R8" s="130"/>
      <c r="S8" s="6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row>
    <row r="9" spans="1:50" ht="18" customHeight="1" x14ac:dyDescent="0.3">
      <c r="A9" s="1"/>
      <c r="B9" s="63" t="s">
        <v>511</v>
      </c>
      <c r="C9" s="73">
        <v>0</v>
      </c>
      <c r="D9" s="73">
        <v>0</v>
      </c>
      <c r="E9" s="73">
        <f t="shared" ref="E9:K9" si="1">E10-E8</f>
        <v>-1427317</v>
      </c>
      <c r="F9" s="73">
        <f t="shared" si="1"/>
        <v>-1555927</v>
      </c>
      <c r="G9" s="73">
        <f t="shared" si="1"/>
        <v>-1183289</v>
      </c>
      <c r="H9" s="73">
        <f t="shared" si="1"/>
        <v>-1542690</v>
      </c>
      <c r="I9" s="73">
        <f t="shared" si="1"/>
        <v>-1816803</v>
      </c>
      <c r="J9" s="73">
        <f t="shared" si="1"/>
        <v>-2015471</v>
      </c>
      <c r="K9" s="73">
        <f t="shared" si="1"/>
        <v>-2316234.0280639194</v>
      </c>
      <c r="L9" s="73">
        <f>L10-L8</f>
        <v>-2558155.4546399703</v>
      </c>
      <c r="M9" s="129">
        <v>0</v>
      </c>
      <c r="N9" s="129">
        <v>0</v>
      </c>
      <c r="O9" s="129">
        <v>0</v>
      </c>
      <c r="P9" s="129">
        <v>0</v>
      </c>
      <c r="Q9" s="130"/>
      <c r="R9" s="130"/>
      <c r="S9" s="6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row>
    <row r="10" spans="1:50" ht="18" customHeight="1" x14ac:dyDescent="0.3">
      <c r="A10" s="1"/>
      <c r="B10" s="52" t="s">
        <v>0</v>
      </c>
      <c r="C10" s="73">
        <f>SUM(C11:C13)</f>
        <v>4780694</v>
      </c>
      <c r="D10" s="73">
        <f t="shared" ref="D10:P10" si="2">SUM(D11:D13)</f>
        <v>5035610</v>
      </c>
      <c r="E10" s="73">
        <f t="shared" si="2"/>
        <v>5139114</v>
      </c>
      <c r="F10" s="73">
        <f t="shared" si="2"/>
        <v>5285178</v>
      </c>
      <c r="G10" s="73">
        <f t="shared" si="2"/>
        <v>4085486</v>
      </c>
      <c r="H10" s="73">
        <f t="shared" si="2"/>
        <v>5153206</v>
      </c>
      <c r="I10" s="73">
        <f t="shared" si="2"/>
        <v>6183551</v>
      </c>
      <c r="J10" s="73">
        <f t="shared" si="2"/>
        <v>6719317</v>
      </c>
      <c r="K10" s="73">
        <f t="shared" si="2"/>
        <v>7673416.1747399997</v>
      </c>
      <c r="L10" s="73">
        <f t="shared" si="2"/>
        <v>7982953.9399820296</v>
      </c>
      <c r="M10" s="130">
        <f t="shared" si="2"/>
        <v>8109051.645724752</v>
      </c>
      <c r="N10" s="130">
        <f t="shared" si="2"/>
        <v>8630466.7899582107</v>
      </c>
      <c r="O10" s="130">
        <f t="shared" si="2"/>
        <v>9205381.3888297826</v>
      </c>
      <c r="P10" s="130">
        <f t="shared" si="2"/>
        <v>9821638.4535819925</v>
      </c>
      <c r="Q10" s="130"/>
      <c r="R10" s="130"/>
      <c r="S10" s="6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row>
    <row r="11" spans="1:50" ht="18" customHeight="1" x14ac:dyDescent="0.3">
      <c r="A11" s="1"/>
      <c r="B11" s="63" t="s">
        <v>488</v>
      </c>
      <c r="C11" s="73">
        <v>4601146.97</v>
      </c>
      <c r="D11" s="73">
        <v>4779324.62</v>
      </c>
      <c r="E11" s="73">
        <v>4882089</v>
      </c>
      <c r="F11" s="73">
        <v>5051851</v>
      </c>
      <c r="G11" s="73">
        <v>3922889</v>
      </c>
      <c r="H11" s="73">
        <v>4960633</v>
      </c>
      <c r="I11" s="73">
        <v>5904485</v>
      </c>
      <c r="J11" s="73">
        <v>6336700</v>
      </c>
      <c r="K11" s="73">
        <v>7195564</v>
      </c>
      <c r="L11" s="73">
        <v>7643885.6993020298</v>
      </c>
      <c r="M11" s="130">
        <f>'Projeções - Receita Varejo'!M27</f>
        <v>7659268.9717447506</v>
      </c>
      <c r="N11" s="130">
        <f>'Projeções - Receita Varejo'!N27</f>
        <v>8110095.1014855951</v>
      </c>
      <c r="O11" s="130">
        <f>'Projeções - Receita Varejo'!O27</f>
        <v>8619113.507364016</v>
      </c>
      <c r="P11" s="130">
        <f>'Projeções - Receita Varejo'!P27</f>
        <v>9169320.9419453237</v>
      </c>
      <c r="Q11" s="130"/>
      <c r="R11" s="130"/>
      <c r="S11" s="6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row>
    <row r="12" spans="1:50" ht="18" customHeight="1" x14ac:dyDescent="0.3">
      <c r="A12" s="1"/>
      <c r="B12" s="63" t="s">
        <v>489</v>
      </c>
      <c r="C12" s="73">
        <v>179547.03</v>
      </c>
      <c r="D12" s="73">
        <v>256285.38</v>
      </c>
      <c r="E12" s="73">
        <v>241271</v>
      </c>
      <c r="F12" s="73">
        <v>216402</v>
      </c>
      <c r="G12" s="73">
        <v>149259</v>
      </c>
      <c r="H12" s="73">
        <v>174974</v>
      </c>
      <c r="I12" s="73">
        <v>257373</v>
      </c>
      <c r="J12" s="73">
        <v>356592</v>
      </c>
      <c r="K12" s="73">
        <v>440975</v>
      </c>
      <c r="L12" s="73">
        <f>317.11247267*1000</f>
        <v>317112.47266999999</v>
      </c>
      <c r="M12" s="130">
        <f>'Projeções - Receita Financeira'!M9</f>
        <v>421250.40090469044</v>
      </c>
      <c r="N12" s="130">
        <f>'Projeções - Receita Financeira'!N9</f>
        <v>490160</v>
      </c>
      <c r="O12" s="130">
        <f>'Projeções - Receita Financeira'!O9</f>
        <v>554160</v>
      </c>
      <c r="P12" s="130">
        <f>'Projeções - Receita Financeira'!P9</f>
        <v>618160</v>
      </c>
      <c r="Q12" s="130"/>
      <c r="R12" s="130"/>
      <c r="S12" s="6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row>
    <row r="13" spans="1:50" ht="18" customHeight="1" x14ac:dyDescent="0.3">
      <c r="A13" s="1"/>
      <c r="B13" s="63" t="s">
        <v>490</v>
      </c>
      <c r="C13" s="73">
        <v>0</v>
      </c>
      <c r="D13" s="73">
        <v>0</v>
      </c>
      <c r="E13" s="73">
        <v>15754</v>
      </c>
      <c r="F13" s="73">
        <v>16925</v>
      </c>
      <c r="G13" s="73">
        <v>13338</v>
      </c>
      <c r="H13" s="73">
        <v>17599</v>
      </c>
      <c r="I13" s="73">
        <v>21693</v>
      </c>
      <c r="J13" s="73">
        <v>26025</v>
      </c>
      <c r="K13" s="73">
        <f>36.87717474*1000</f>
        <v>36877.174740000002</v>
      </c>
      <c r="L13" s="73">
        <f>21.95576801*1000</f>
        <v>21955.76801</v>
      </c>
      <c r="M13" s="130">
        <f>'Projeções - Receita Varejo'!M28</f>
        <v>28532.273075310928</v>
      </c>
      <c r="N13" s="130">
        <f>'Projeções - Receita Varejo'!N28</f>
        <v>30211.688472616286</v>
      </c>
      <c r="O13" s="130">
        <f>'Projeções - Receita Varejo'!O28</f>
        <v>32107.881465767456</v>
      </c>
      <c r="P13" s="130">
        <f>'Projeções - Receita Varejo'!P28</f>
        <v>34157.511636669267</v>
      </c>
      <c r="Q13" s="130"/>
      <c r="R13" s="130"/>
      <c r="S13" s="6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row>
    <row r="14" spans="1:50" ht="18" customHeight="1" x14ac:dyDescent="0.3">
      <c r="A14" s="1"/>
      <c r="B14" s="52" t="s">
        <v>28</v>
      </c>
      <c r="C14" s="73">
        <v>-2775856</v>
      </c>
      <c r="D14" s="73">
        <v>-2614085</v>
      </c>
      <c r="E14" s="73">
        <v>-2589971</v>
      </c>
      <c r="F14" s="73">
        <v>-2717065</v>
      </c>
      <c r="G14" s="73">
        <v>-2188859</v>
      </c>
      <c r="H14" s="73">
        <v>-2755897</v>
      </c>
      <c r="I14" s="73">
        <v>-3077441</v>
      </c>
      <c r="J14" s="73">
        <v>-3197049</v>
      </c>
      <c r="K14" s="73">
        <v>-3459970</v>
      </c>
      <c r="L14" s="73">
        <f>-3550.50183783*1000</f>
        <v>-3550501.8378300001</v>
      </c>
      <c r="M14" s="129">
        <v>0</v>
      </c>
      <c r="N14" s="129">
        <v>0</v>
      </c>
      <c r="O14" s="129">
        <v>0</v>
      </c>
      <c r="P14" s="129">
        <v>0</v>
      </c>
      <c r="Q14" s="130"/>
      <c r="R14" s="130"/>
      <c r="S14" s="6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row>
    <row r="15" spans="1:50" ht="18" customHeight="1" x14ac:dyDescent="0.3">
      <c r="A15" s="1"/>
      <c r="B15" s="52" t="s">
        <v>29</v>
      </c>
      <c r="C15" s="73">
        <f t="array" ref="C15:J15">RECEITA_LIQUIDA+CMV</f>
        <v>2004838</v>
      </c>
      <c r="D15" s="73">
        <v>2421525</v>
      </c>
      <c r="E15" s="73">
        <v>2549143</v>
      </c>
      <c r="F15" s="73">
        <v>2568113</v>
      </c>
      <c r="G15" s="73">
        <v>1896627</v>
      </c>
      <c r="H15" s="73">
        <v>2397309</v>
      </c>
      <c r="I15" s="73">
        <v>3106110</v>
      </c>
      <c r="J15" s="73">
        <v>3522268</v>
      </c>
      <c r="K15" s="73">
        <v>4176569</v>
      </c>
      <c r="L15" s="73">
        <f>4432.45583530203*1000</f>
        <v>4432455.8353020307</v>
      </c>
      <c r="M15" s="130">
        <f>M16+M17+M18</f>
        <v>4504039.6410669386</v>
      </c>
      <c r="N15" s="130">
        <f t="shared" ref="N15:P15" si="3">N16+N17+N18</f>
        <v>4813226.2842547055</v>
      </c>
      <c r="O15" s="130">
        <f t="shared" si="3"/>
        <v>5148529.6002645809</v>
      </c>
      <c r="P15" s="130">
        <f t="shared" si="3"/>
        <v>5505790.7013383042</v>
      </c>
      <c r="Q15" s="130"/>
      <c r="R15" s="130"/>
      <c r="S15" s="6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0" ht="18" hidden="1" customHeight="1" outlineLevel="1" x14ac:dyDescent="0.3">
      <c r="A16" s="1"/>
      <c r="B16" s="63" t="s">
        <v>535</v>
      </c>
      <c r="C16" s="73">
        <v>0</v>
      </c>
      <c r="D16" s="73">
        <v>0</v>
      </c>
      <c r="E16" s="73">
        <v>2352187</v>
      </c>
      <c r="F16" s="73">
        <v>2379600</v>
      </c>
      <c r="G16" s="73">
        <v>1782223</v>
      </c>
      <c r="H16" s="73">
        <v>2270447</v>
      </c>
      <c r="I16" s="73">
        <v>2899649</v>
      </c>
      <c r="J16" s="73">
        <f>3166.759*1000</f>
        <v>3166759</v>
      </c>
      <c r="K16" s="73">
        <v>3736182</v>
      </c>
      <c r="L16" s="73">
        <f>4115.61061503143*1000</f>
        <v>4115610.61503143</v>
      </c>
      <c r="M16" s="130">
        <f>M20*M11</f>
        <v>4212597.9344596136</v>
      </c>
      <c r="N16" s="130">
        <f t="shared" ref="N16:P16" si="4">N20*N11</f>
        <v>4460552.3058170779</v>
      </c>
      <c r="O16" s="130">
        <f t="shared" si="4"/>
        <v>4740512.429050209</v>
      </c>
      <c r="P16" s="130">
        <f t="shared" si="4"/>
        <v>5043126.5180699285</v>
      </c>
      <c r="Q16" s="130"/>
      <c r="R16" s="130"/>
      <c r="S16" s="6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ht="18" hidden="1" customHeight="1" outlineLevel="1" x14ac:dyDescent="0.3">
      <c r="A17" s="1"/>
      <c r="B17" s="63" t="s">
        <v>536</v>
      </c>
      <c r="C17" s="73">
        <v>0</v>
      </c>
      <c r="D17" s="73">
        <v>0</v>
      </c>
      <c r="E17" s="73">
        <v>239675</v>
      </c>
      <c r="F17" s="73">
        <v>215127</v>
      </c>
      <c r="G17" s="73">
        <v>148241</v>
      </c>
      <c r="H17" s="73">
        <v>172990</v>
      </c>
      <c r="I17" s="73">
        <v>255841</v>
      </c>
      <c r="J17" s="73">
        <v>355510</v>
      </c>
      <c r="K17" s="73">
        <f>440.387224940001*1000</f>
        <v>440387.22494000098</v>
      </c>
      <c r="L17" s="73">
        <f>316.84822054*1000</f>
        <v>316848.22054000001</v>
      </c>
      <c r="M17" s="130">
        <f>M21*M12</f>
        <v>420899.36988164316</v>
      </c>
      <c r="N17" s="130">
        <f t="shared" ref="N17:P17" si="5">N21*N12</f>
        <v>489751.54610681121</v>
      </c>
      <c r="O17" s="130">
        <f t="shared" si="5"/>
        <v>553698.21444130584</v>
      </c>
      <c r="P17" s="130">
        <f t="shared" si="5"/>
        <v>617644.88277580054</v>
      </c>
      <c r="Q17" s="130"/>
      <c r="R17" s="130"/>
      <c r="S17" s="6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ht="18" hidden="1" customHeight="1" outlineLevel="1" x14ac:dyDescent="0.3">
      <c r="A18" s="1"/>
      <c r="B18" s="63" t="s">
        <v>537</v>
      </c>
      <c r="C18" s="73">
        <v>0</v>
      </c>
      <c r="D18" s="73">
        <v>0</v>
      </c>
      <c r="E18" s="73">
        <v>-42719</v>
      </c>
      <c r="F18" s="73">
        <v>-26616</v>
      </c>
      <c r="G18" s="73">
        <v>-33839</v>
      </c>
      <c r="H18" s="73">
        <v>-46129</v>
      </c>
      <c r="I18" s="73">
        <v>-49381</v>
      </c>
      <c r="J18" s="73">
        <v>-86303</v>
      </c>
      <c r="K18" s="73">
        <f>-86.46874984*1000</f>
        <v>-86468.749840000004</v>
      </c>
      <c r="L18" s="73">
        <f>-99.61850619*1000</f>
        <v>-99618.50619</v>
      </c>
      <c r="M18" s="130">
        <f>M22*M13</f>
        <v>-129457.66327431842</v>
      </c>
      <c r="N18" s="130">
        <f t="shared" ref="N18:P18" si="6">N22*N13</f>
        <v>-137077.56766918386</v>
      </c>
      <c r="O18" s="130">
        <f t="shared" si="6"/>
        <v>-145681.04322693386</v>
      </c>
      <c r="P18" s="130">
        <f t="shared" si="6"/>
        <v>-154980.69950742455</v>
      </c>
      <c r="Q18" s="130"/>
      <c r="R18" s="130"/>
      <c r="S18" s="6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0" ht="18" customHeight="1" collapsed="1" x14ac:dyDescent="0.3">
      <c r="A19" s="1"/>
      <c r="B19" s="52" t="s">
        <v>531</v>
      </c>
      <c r="C19" s="76">
        <f t="shared" ref="C19:J19" si="7">C15/C10</f>
        <v>0.41936128938601802</v>
      </c>
      <c r="D19" s="76">
        <f t="shared" si="7"/>
        <v>0.48088017141915279</v>
      </c>
      <c r="E19" s="76">
        <f t="shared" si="7"/>
        <v>0.49602771995328376</v>
      </c>
      <c r="F19" s="76">
        <f t="shared" si="7"/>
        <v>0.48590851623161985</v>
      </c>
      <c r="G19" s="76">
        <f t="shared" si="7"/>
        <v>0.46423534433847036</v>
      </c>
      <c r="H19" s="76">
        <f t="shared" si="7"/>
        <v>0.46520729037418646</v>
      </c>
      <c r="I19" s="107">
        <f t="shared" si="7"/>
        <v>0.50231816637398152</v>
      </c>
      <c r="J19" s="107">
        <f t="shared" si="7"/>
        <v>0.52420030190568478</v>
      </c>
      <c r="K19" s="107">
        <f>K15/K10</f>
        <v>0.54429069203215941</v>
      </c>
      <c r="L19" s="107">
        <f>L15/L10</f>
        <v>0.55524006133899961</v>
      </c>
      <c r="M19" s="137">
        <f>M15/M10</f>
        <v>0.5554335867920579</v>
      </c>
      <c r="N19" s="137">
        <f t="shared" ref="N19:P19" si="8">N15/N10</f>
        <v>0.55770173287208857</v>
      </c>
      <c r="O19" s="137">
        <f t="shared" si="8"/>
        <v>0.55929563184769671</v>
      </c>
      <c r="P19" s="137">
        <f t="shared" si="8"/>
        <v>0.56057761923931537</v>
      </c>
      <c r="Q19" s="136"/>
      <c r="R19" s="136"/>
      <c r="S19" s="61" t="s">
        <v>963</v>
      </c>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0" spans="1:50" ht="18" hidden="1" customHeight="1" outlineLevel="1" x14ac:dyDescent="0.3">
      <c r="A20" s="1"/>
      <c r="B20" s="108" t="s">
        <v>532</v>
      </c>
      <c r="C20" s="109">
        <v>0</v>
      </c>
      <c r="D20" s="109">
        <v>0</v>
      </c>
      <c r="E20" s="109">
        <f t="shared" ref="E20:K20" si="9">E16/E11</f>
        <v>0.48179928714941495</v>
      </c>
      <c r="F20" s="110">
        <f t="shared" si="9"/>
        <v>0.4710352700426042</v>
      </c>
      <c r="G20" s="110">
        <f t="shared" si="9"/>
        <v>0.45431389978151304</v>
      </c>
      <c r="H20" s="110">
        <f t="shared" si="9"/>
        <v>0.45769300006672536</v>
      </c>
      <c r="I20" s="110">
        <f t="shared" si="9"/>
        <v>0.49109261857723407</v>
      </c>
      <c r="J20" s="110">
        <f t="shared" si="9"/>
        <v>0.49974892294096296</v>
      </c>
      <c r="K20" s="110">
        <f t="shared" si="9"/>
        <v>0.519234072548031</v>
      </c>
      <c r="L20" s="110">
        <f t="shared" ref="L20" si="10">L16/L11</f>
        <v>0.53841864948441476</v>
      </c>
      <c r="M20" s="110">
        <v>0.55000000000000004</v>
      </c>
      <c r="N20" s="110">
        <v>0.55000000000000004</v>
      </c>
      <c r="O20" s="110">
        <v>0.55000000000000004</v>
      </c>
      <c r="P20" s="110">
        <v>0.55000000000000004</v>
      </c>
      <c r="Q20" s="109"/>
      <c r="R20" s="109"/>
      <c r="S20" s="6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row>
    <row r="21" spans="1:50" ht="18" hidden="1" customHeight="1" outlineLevel="1" x14ac:dyDescent="0.3">
      <c r="A21" s="1"/>
      <c r="B21" s="108" t="s">
        <v>533</v>
      </c>
      <c r="C21" s="109">
        <v>0</v>
      </c>
      <c r="D21" s="109">
        <v>0</v>
      </c>
      <c r="E21" s="109">
        <f t="shared" ref="E21:K21" si="11">E17/E12</f>
        <v>0.9933850317692553</v>
      </c>
      <c r="F21" s="110">
        <f t="shared" si="11"/>
        <v>0.99410818753985641</v>
      </c>
      <c r="G21" s="110">
        <f t="shared" si="11"/>
        <v>0.99317964075868126</v>
      </c>
      <c r="H21" s="110">
        <f t="shared" si="11"/>
        <v>0.98866117251705965</v>
      </c>
      <c r="I21" s="110">
        <f t="shared" si="11"/>
        <v>0.99404754966527176</v>
      </c>
      <c r="J21" s="110">
        <f t="shared" si="11"/>
        <v>0.99696571992641447</v>
      </c>
      <c r="K21" s="110">
        <f t="shared" si="11"/>
        <v>0.99866710117353807</v>
      </c>
      <c r="L21" s="110">
        <f t="shared" ref="L21" si="12">L17/L12</f>
        <v>0.99916669272647951</v>
      </c>
      <c r="M21" s="110">
        <f>L21</f>
        <v>0.99916669272647951</v>
      </c>
      <c r="N21" s="110">
        <f t="shared" ref="N21:P21" si="13">M21</f>
        <v>0.99916669272647951</v>
      </c>
      <c r="O21" s="110">
        <f t="shared" si="13"/>
        <v>0.99916669272647951</v>
      </c>
      <c r="P21" s="110">
        <f t="shared" si="13"/>
        <v>0.99916669272647951</v>
      </c>
      <c r="Q21" s="110"/>
      <c r="R21" s="110"/>
      <c r="S21" s="6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row>
    <row r="22" spans="1:50" ht="18" hidden="1" customHeight="1" outlineLevel="1" x14ac:dyDescent="0.3">
      <c r="A22" s="1"/>
      <c r="B22" s="52" t="s">
        <v>534</v>
      </c>
      <c r="C22" s="76">
        <v>0</v>
      </c>
      <c r="D22" s="76">
        <v>0</v>
      </c>
      <c r="E22" s="162">
        <f t="shared" ref="E22:J22" si="14">E18/E13</f>
        <v>-2.7116287926875713</v>
      </c>
      <c r="F22" s="111">
        <f t="shared" si="14"/>
        <v>-1.5725849335302806</v>
      </c>
      <c r="G22" s="111">
        <f t="shared" si="14"/>
        <v>-2.5370370370370372</v>
      </c>
      <c r="H22" s="111">
        <f t="shared" si="14"/>
        <v>-2.6211148360702312</v>
      </c>
      <c r="I22" s="111">
        <f t="shared" si="14"/>
        <v>-2.2763564283409394</v>
      </c>
      <c r="J22" s="111">
        <f t="shared" si="14"/>
        <v>-3.3161575408261288</v>
      </c>
      <c r="K22" s="111">
        <f>IFERROR(K18/K13,0)</f>
        <v>-2.3447769643320564</v>
      </c>
      <c r="L22" s="111">
        <f>IFERROR(L18/L13,0)</f>
        <v>-4.5372362353540829</v>
      </c>
      <c r="M22" s="111">
        <f>L22</f>
        <v>-4.5372362353540829</v>
      </c>
      <c r="N22" s="111">
        <f t="shared" ref="N22:P22" si="15">M22</f>
        <v>-4.5372362353540829</v>
      </c>
      <c r="O22" s="111">
        <f t="shared" si="15"/>
        <v>-4.5372362353540829</v>
      </c>
      <c r="P22" s="111">
        <f t="shared" si="15"/>
        <v>-4.5372362353540829</v>
      </c>
      <c r="Q22" s="107"/>
      <c r="R22" s="107"/>
      <c r="S22" s="6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row>
    <row r="23" spans="1:50" ht="18" customHeight="1" collapsed="1" x14ac:dyDescent="0.3">
      <c r="A23" s="1"/>
      <c r="B23" s="52" t="s">
        <v>530</v>
      </c>
      <c r="C23" s="73">
        <f t="shared" ref="C23:J23" si="16">SUM(C24,C34,C42,C43)</f>
        <v>-2010731</v>
      </c>
      <c r="D23" s="73">
        <f t="shared" si="16"/>
        <v>-2103861</v>
      </c>
      <c r="E23" s="73">
        <f t="shared" si="16"/>
        <v>-2180043</v>
      </c>
      <c r="F23" s="73">
        <f t="shared" si="16"/>
        <v>-1500894</v>
      </c>
      <c r="G23" s="73">
        <f t="shared" si="16"/>
        <v>-2053273</v>
      </c>
      <c r="H23" s="73">
        <f t="shared" si="16"/>
        <v>-2301981</v>
      </c>
      <c r="I23" s="73">
        <f t="shared" si="16"/>
        <v>-2829337</v>
      </c>
      <c r="J23" s="73">
        <f t="shared" si="16"/>
        <v>-3136023</v>
      </c>
      <c r="K23" s="73">
        <f>-3367.32461713141*1000</f>
        <v>-3367324.6171314097</v>
      </c>
      <c r="L23" s="73">
        <f>-3387.90655779846*1000</f>
        <v>-3387906.5577984601</v>
      </c>
      <c r="M23" s="130">
        <f>M24+M34+M42</f>
        <v>-3684041.5953162666</v>
      </c>
      <c r="N23" s="130">
        <f t="shared" ref="N23:P23" si="17">N24+N34+N42</f>
        <v>-3934498.5537290326</v>
      </c>
      <c r="O23" s="130">
        <f t="shared" si="17"/>
        <v>-4208218.3391414965</v>
      </c>
      <c r="P23" s="130">
        <f t="shared" si="17"/>
        <v>-4499914.8055879585</v>
      </c>
      <c r="Q23" s="73"/>
      <c r="R23" s="73"/>
      <c r="S23" s="6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18" customHeight="1" x14ac:dyDescent="0.3">
      <c r="A24" s="1"/>
      <c r="B24" s="63" t="s">
        <v>30</v>
      </c>
      <c r="C24" s="73">
        <f t="shared" ref="C24:L24" si="18">SUM(C26:C33)</f>
        <v>-1536151</v>
      </c>
      <c r="D24" s="73">
        <f t="shared" si="18"/>
        <v>-1596848</v>
      </c>
      <c r="E24" s="73">
        <f t="shared" si="18"/>
        <v>-1711728</v>
      </c>
      <c r="F24" s="73">
        <f t="shared" si="18"/>
        <v>-1755337</v>
      </c>
      <c r="G24" s="73">
        <f t="shared" si="18"/>
        <v>-1648437</v>
      </c>
      <c r="H24" s="73">
        <f t="shared" si="18"/>
        <v>-2025632</v>
      </c>
      <c r="I24" s="73">
        <f t="shared" si="18"/>
        <v>-2260266</v>
      </c>
      <c r="J24" s="73">
        <f t="shared" si="18"/>
        <v>-2200179</v>
      </c>
      <c r="K24" s="73">
        <f t="shared" si="18"/>
        <v>-2355001</v>
      </c>
      <c r="L24" s="73">
        <f t="shared" si="18"/>
        <v>-2511645</v>
      </c>
      <c r="M24" s="130">
        <f>M25*M10</f>
        <v>-2551318.618878589</v>
      </c>
      <c r="N24" s="130">
        <f t="shared" ref="N24:P24" si="19">N25*N10</f>
        <v>-2715369.3887795857</v>
      </c>
      <c r="O24" s="130">
        <f t="shared" si="19"/>
        <v>-2896252.4789914326</v>
      </c>
      <c r="P24" s="130">
        <f t="shared" si="19"/>
        <v>-3090142.9845657451</v>
      </c>
      <c r="Q24" s="73"/>
      <c r="R24" s="73"/>
      <c r="S24" s="61" t="s">
        <v>960</v>
      </c>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18" customHeight="1" x14ac:dyDescent="0.3">
      <c r="A25" s="1"/>
      <c r="B25" s="108" t="s">
        <v>593</v>
      </c>
      <c r="C25" s="112">
        <f>C24/C10</f>
        <v>-0.32132384963354693</v>
      </c>
      <c r="D25" s="112">
        <f t="shared" ref="D25:L25" si="20">D24/D10</f>
        <v>-0.31711113450009037</v>
      </c>
      <c r="E25" s="112">
        <f t="shared" si="20"/>
        <v>-0.33307842558075185</v>
      </c>
      <c r="F25" s="113">
        <f t="shared" si="20"/>
        <v>-0.33212448095409464</v>
      </c>
      <c r="G25" s="113">
        <f t="shared" si="20"/>
        <v>-0.4034861458343022</v>
      </c>
      <c r="H25" s="113">
        <f t="shared" si="20"/>
        <v>-0.39308189891884782</v>
      </c>
      <c r="I25" s="113">
        <f t="shared" si="20"/>
        <v>-0.36552880375693514</v>
      </c>
      <c r="J25" s="113">
        <f t="shared" si="20"/>
        <v>-0.32744086936216882</v>
      </c>
      <c r="K25" s="113">
        <f t="shared" si="20"/>
        <v>-0.30690385434226691</v>
      </c>
      <c r="L25" s="113">
        <f t="shared" si="20"/>
        <v>-0.31462601674558249</v>
      </c>
      <c r="M25" s="113">
        <f>L25</f>
        <v>-0.31462601674558249</v>
      </c>
      <c r="N25" s="113">
        <f t="shared" ref="N25:P25" si="21">M25</f>
        <v>-0.31462601674558249</v>
      </c>
      <c r="O25" s="113">
        <f t="shared" si="21"/>
        <v>-0.31462601674558249</v>
      </c>
      <c r="P25" s="113">
        <f t="shared" si="21"/>
        <v>-0.31462601674558249</v>
      </c>
      <c r="Q25" s="73"/>
      <c r="R25" s="73"/>
      <c r="S25" s="6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row>
    <row r="26" spans="1:50" ht="18" hidden="1" customHeight="1" outlineLevel="1" x14ac:dyDescent="0.3">
      <c r="A26" s="1"/>
      <c r="B26" s="64" t="s">
        <v>38</v>
      </c>
      <c r="C26" s="73">
        <v>-585593</v>
      </c>
      <c r="D26" s="73">
        <v>-585653</v>
      </c>
      <c r="E26" s="73">
        <v>-581958</v>
      </c>
      <c r="F26" s="73">
        <v>-579633</v>
      </c>
      <c r="G26" s="73">
        <v>-488088</v>
      </c>
      <c r="H26" s="73">
        <v>-598914</v>
      </c>
      <c r="I26" s="73">
        <v>-731739</v>
      </c>
      <c r="J26" s="73">
        <v>-714521</v>
      </c>
      <c r="K26" s="73">
        <v>-740838</v>
      </c>
      <c r="L26" s="73">
        <v>-777345</v>
      </c>
      <c r="M26" s="73">
        <v>0</v>
      </c>
      <c r="N26" s="73">
        <v>0</v>
      </c>
      <c r="O26" s="73">
        <v>0</v>
      </c>
      <c r="P26" s="73">
        <v>0</v>
      </c>
      <c r="Q26" s="73"/>
      <c r="R26" s="73"/>
      <c r="S26" s="6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row>
    <row r="27" spans="1:50" ht="18" hidden="1" customHeight="1" outlineLevel="1" x14ac:dyDescent="0.3">
      <c r="A27" s="1"/>
      <c r="B27" s="64" t="s">
        <v>145</v>
      </c>
      <c r="C27" s="73">
        <v>-147630</v>
      </c>
      <c r="D27" s="73">
        <v>-143144</v>
      </c>
      <c r="E27" s="73">
        <v>-174608</v>
      </c>
      <c r="F27" s="73">
        <v>-203002</v>
      </c>
      <c r="G27" s="73">
        <v>-275228</v>
      </c>
      <c r="H27" s="73">
        <v>-324160</v>
      </c>
      <c r="I27" s="73">
        <v>-351675</v>
      </c>
      <c r="J27" s="73">
        <v>-358939</v>
      </c>
      <c r="K27" s="73">
        <f>-408300</f>
        <v>-408300</v>
      </c>
      <c r="L27" s="73">
        <v>-407852</v>
      </c>
      <c r="M27" s="73">
        <v>0</v>
      </c>
      <c r="N27" s="73">
        <v>0</v>
      </c>
      <c r="O27" s="73">
        <v>0</v>
      </c>
      <c r="P27" s="73">
        <v>0</v>
      </c>
      <c r="Q27" s="73"/>
      <c r="R27" s="73"/>
      <c r="S27" s="6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row>
    <row r="28" spans="1:50" ht="18" hidden="1" customHeight="1" outlineLevel="1" x14ac:dyDescent="0.3">
      <c r="A28" s="1"/>
      <c r="B28" s="64" t="s">
        <v>41</v>
      </c>
      <c r="C28" s="73">
        <v>0</v>
      </c>
      <c r="D28" s="73">
        <v>0</v>
      </c>
      <c r="E28" s="73">
        <v>0</v>
      </c>
      <c r="F28" s="73">
        <v>-248687</v>
      </c>
      <c r="G28" s="73">
        <v>-257798</v>
      </c>
      <c r="H28" s="73">
        <v>-285667</v>
      </c>
      <c r="I28" s="73">
        <v>-321079</v>
      </c>
      <c r="J28" s="73">
        <v>-314510</v>
      </c>
      <c r="K28" s="73">
        <v>-301913</v>
      </c>
      <c r="L28" s="73">
        <v>-317628</v>
      </c>
      <c r="M28" s="73">
        <v>0</v>
      </c>
      <c r="N28" s="73">
        <v>0</v>
      </c>
      <c r="O28" s="73">
        <v>0</v>
      </c>
      <c r="P28" s="73">
        <v>0</v>
      </c>
      <c r="Q28" s="73"/>
      <c r="R28" s="73"/>
      <c r="S28" s="6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row>
    <row r="29" spans="1:50" ht="18" hidden="1" customHeight="1" outlineLevel="1" x14ac:dyDescent="0.3">
      <c r="A29" s="1"/>
      <c r="B29" s="64" t="s">
        <v>40</v>
      </c>
      <c r="C29" s="73">
        <v>-141898</v>
      </c>
      <c r="D29" s="73">
        <v>-135358</v>
      </c>
      <c r="E29" s="73">
        <v>-142604</v>
      </c>
      <c r="F29" s="73">
        <v>-155499</v>
      </c>
      <c r="G29" s="73">
        <v>-163352</v>
      </c>
      <c r="H29" s="73">
        <v>-144330</v>
      </c>
      <c r="I29" s="73">
        <v>-123749</v>
      </c>
      <c r="J29" s="73">
        <v>-143073</v>
      </c>
      <c r="K29" s="73">
        <v>-134870</v>
      </c>
      <c r="L29" s="73">
        <v>-144908</v>
      </c>
      <c r="M29" s="73">
        <v>0</v>
      </c>
      <c r="N29" s="73">
        <v>0</v>
      </c>
      <c r="O29" s="73">
        <v>0</v>
      </c>
      <c r="P29" s="73">
        <v>0</v>
      </c>
      <c r="Q29" s="73"/>
      <c r="R29" s="73"/>
      <c r="S29" s="6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row>
    <row r="30" spans="1:50" ht="18" hidden="1" customHeight="1" outlineLevel="1" x14ac:dyDescent="0.3">
      <c r="A30" s="1"/>
      <c r="B30" s="64" t="s">
        <v>39</v>
      </c>
      <c r="C30" s="73">
        <v>-445775</v>
      </c>
      <c r="D30" s="73">
        <v>-494621</v>
      </c>
      <c r="E30" s="73">
        <v>-522814</v>
      </c>
      <c r="F30" s="73">
        <v>-280085</v>
      </c>
      <c r="G30" s="73">
        <v>-148137</v>
      </c>
      <c r="H30" s="73">
        <v>-294022</v>
      </c>
      <c r="I30" s="73">
        <v>-353337</v>
      </c>
      <c r="J30" s="73">
        <v>-349398</v>
      </c>
      <c r="K30" s="73">
        <v>-376434</v>
      </c>
      <c r="L30" s="73">
        <v>-402786</v>
      </c>
      <c r="M30" s="73">
        <v>0</v>
      </c>
      <c r="N30" s="73">
        <v>0</v>
      </c>
      <c r="O30" s="73">
        <v>0</v>
      </c>
      <c r="P30" s="73">
        <v>0</v>
      </c>
      <c r="Q30" s="73"/>
      <c r="R30" s="73"/>
      <c r="S30" s="6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row>
    <row r="31" spans="1:50" ht="18" hidden="1" customHeight="1" outlineLevel="1" x14ac:dyDescent="0.3">
      <c r="A31" s="1"/>
      <c r="B31" s="64" t="s">
        <v>146</v>
      </c>
      <c r="C31" s="73">
        <v>-115738</v>
      </c>
      <c r="D31" s="73">
        <v>-96180</v>
      </c>
      <c r="E31" s="73">
        <v>-120583</v>
      </c>
      <c r="F31" s="73">
        <v>-109993</v>
      </c>
      <c r="G31" s="73">
        <v>-185169</v>
      </c>
      <c r="H31" s="73">
        <v>-211744</v>
      </c>
      <c r="I31" s="73">
        <v>-161389</v>
      </c>
      <c r="J31" s="73">
        <v>-106739</v>
      </c>
      <c r="K31" s="73">
        <v>-179647</v>
      </c>
      <c r="L31" s="73">
        <v>-193066</v>
      </c>
      <c r="M31" s="73">
        <v>0</v>
      </c>
      <c r="N31" s="73">
        <v>0</v>
      </c>
      <c r="O31" s="73">
        <v>0</v>
      </c>
      <c r="P31" s="73">
        <v>0</v>
      </c>
      <c r="Q31" s="73"/>
      <c r="R31" s="73"/>
      <c r="S31" s="6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row>
    <row r="32" spans="1:50" ht="18" hidden="1" customHeight="1" outlineLevel="1" x14ac:dyDescent="0.3">
      <c r="A32" s="1"/>
      <c r="B32" s="64" t="s">
        <v>147</v>
      </c>
      <c r="C32" s="73">
        <v>0</v>
      </c>
      <c r="D32" s="73">
        <v>0</v>
      </c>
      <c r="E32" s="73">
        <v>0</v>
      </c>
      <c r="F32" s="73">
        <v>0</v>
      </c>
      <c r="G32" s="73">
        <v>0</v>
      </c>
      <c r="H32" s="73">
        <v>0</v>
      </c>
      <c r="I32" s="73">
        <v>0</v>
      </c>
      <c r="J32" s="73">
        <v>0</v>
      </c>
      <c r="K32" s="73">
        <v>0</v>
      </c>
      <c r="L32" s="73">
        <v>0</v>
      </c>
      <c r="M32" s="73">
        <v>0</v>
      </c>
      <c r="N32" s="73">
        <v>0</v>
      </c>
      <c r="O32" s="73">
        <v>0</v>
      </c>
      <c r="P32" s="73">
        <v>0</v>
      </c>
      <c r="Q32" s="73"/>
      <c r="R32" s="73"/>
      <c r="S32" s="6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3" spans="1:50" ht="18" hidden="1" customHeight="1" outlineLevel="1" x14ac:dyDescent="0.3">
      <c r="A33" s="1"/>
      <c r="B33" s="64" t="s">
        <v>42</v>
      </c>
      <c r="C33" s="73">
        <v>-99517</v>
      </c>
      <c r="D33" s="73">
        <v>-141892</v>
      </c>
      <c r="E33" s="73">
        <v>-169161</v>
      </c>
      <c r="F33" s="73">
        <v>-178438</v>
      </c>
      <c r="G33" s="73">
        <v>-130665</v>
      </c>
      <c r="H33" s="73">
        <v>-166795</v>
      </c>
      <c r="I33" s="73">
        <v>-217298</v>
      </c>
      <c r="J33" s="73">
        <v>-212999</v>
      </c>
      <c r="K33" s="73">
        <v>-212999</v>
      </c>
      <c r="L33" s="73">
        <f>-113198-50120-104742</f>
        <v>-268060</v>
      </c>
      <c r="M33" s="73">
        <v>0</v>
      </c>
      <c r="N33" s="73">
        <v>0</v>
      </c>
      <c r="O33" s="73">
        <v>0</v>
      </c>
      <c r="P33" s="73">
        <v>0</v>
      </c>
      <c r="Q33" s="73"/>
      <c r="R33" s="73"/>
      <c r="S33" s="6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spans="1:50" ht="18" customHeight="1" collapsed="1" x14ac:dyDescent="0.3">
      <c r="A34" s="1"/>
      <c r="B34" s="63" t="s">
        <v>31</v>
      </c>
      <c r="C34" s="73">
        <f t="shared" ref="C34:L34" si="22">SUM(C36:C41)</f>
        <v>-481679</v>
      </c>
      <c r="D34" s="73">
        <f t="shared" si="22"/>
        <v>-509821</v>
      </c>
      <c r="E34" s="73">
        <f t="shared" si="22"/>
        <v>-470421</v>
      </c>
      <c r="F34" s="73">
        <f t="shared" si="22"/>
        <v>-498019</v>
      </c>
      <c r="G34" s="73">
        <f t="shared" si="22"/>
        <v>-491704</v>
      </c>
      <c r="H34" s="73">
        <f t="shared" si="22"/>
        <v>-487881</v>
      </c>
      <c r="I34" s="73">
        <f t="shared" si="22"/>
        <v>-682646</v>
      </c>
      <c r="J34" s="73">
        <f t="shared" si="22"/>
        <v>-785479</v>
      </c>
      <c r="K34" s="73">
        <f t="shared" si="22"/>
        <v>-887313</v>
      </c>
      <c r="L34" s="73">
        <f t="shared" si="22"/>
        <v>-959532</v>
      </c>
      <c r="M34" s="130">
        <f>M35*M10</f>
        <v>-974688.64310434414</v>
      </c>
      <c r="N34" s="130">
        <f t="shared" ref="N34:P34" si="23">N35*N10</f>
        <v>-1037361.4982827802</v>
      </c>
      <c r="O34" s="130">
        <f t="shared" si="23"/>
        <v>-1106464.8601500641</v>
      </c>
      <c r="P34" s="130">
        <f t="shared" si="23"/>
        <v>-1180537.4876888806</v>
      </c>
      <c r="Q34" s="73"/>
      <c r="R34" s="73"/>
      <c r="S34" s="6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spans="1:50" ht="18" customHeight="1" x14ac:dyDescent="0.3">
      <c r="A35" s="1"/>
      <c r="B35" s="108" t="s">
        <v>593</v>
      </c>
      <c r="C35" s="113">
        <f>C34/C10</f>
        <v>-0.10075503682101385</v>
      </c>
      <c r="D35" s="113">
        <f t="shared" ref="D35:L35" si="24">D34/D10</f>
        <v>-0.10124314631196618</v>
      </c>
      <c r="E35" s="113">
        <f t="shared" si="24"/>
        <v>-9.1537373952008075E-2</v>
      </c>
      <c r="F35" s="113">
        <f t="shared" si="24"/>
        <v>-9.4229371271885257E-2</v>
      </c>
      <c r="G35" s="113">
        <f t="shared" si="24"/>
        <v>-0.12035385753371815</v>
      </c>
      <c r="H35" s="113">
        <f t="shared" si="24"/>
        <v>-9.4675237124229067E-2</v>
      </c>
      <c r="I35" s="113">
        <f t="shared" si="24"/>
        <v>-0.11039708413498975</v>
      </c>
      <c r="J35" s="113">
        <f t="shared" si="24"/>
        <v>-0.1168986371680336</v>
      </c>
      <c r="K35" s="113">
        <f t="shared" si="24"/>
        <v>-0.11563467688888451</v>
      </c>
      <c r="L35" s="113">
        <f t="shared" si="24"/>
        <v>-0.1201976119634432</v>
      </c>
      <c r="M35" s="113">
        <f>L35</f>
        <v>-0.1201976119634432</v>
      </c>
      <c r="N35" s="113">
        <f t="shared" ref="N35:P35" si="25">M35</f>
        <v>-0.1201976119634432</v>
      </c>
      <c r="O35" s="113">
        <f t="shared" si="25"/>
        <v>-0.1201976119634432</v>
      </c>
      <c r="P35" s="113">
        <f t="shared" si="25"/>
        <v>-0.1201976119634432</v>
      </c>
      <c r="Q35" s="73"/>
      <c r="R35" s="73"/>
      <c r="S35" s="6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r="36" spans="1:50" ht="18" hidden="1" customHeight="1" outlineLevel="1" x14ac:dyDescent="0.3">
      <c r="A36" s="1"/>
      <c r="B36" s="64" t="s">
        <v>38</v>
      </c>
      <c r="C36" s="73">
        <v>-217453</v>
      </c>
      <c r="D36" s="73">
        <v>-240665</v>
      </c>
      <c r="E36" s="73">
        <v>-240927</v>
      </c>
      <c r="F36" s="73">
        <v>-271698</v>
      </c>
      <c r="G36" s="73">
        <v>-263249</v>
      </c>
      <c r="H36" s="73">
        <v>-254763</v>
      </c>
      <c r="I36" s="73">
        <v>-309835</v>
      </c>
      <c r="J36" s="73">
        <v>-325355</v>
      </c>
      <c r="K36" s="73">
        <v>-397214</v>
      </c>
      <c r="L36" s="73">
        <v>-441803</v>
      </c>
      <c r="M36" s="73">
        <v>0</v>
      </c>
      <c r="N36" s="73">
        <v>0</v>
      </c>
      <c r="O36" s="73">
        <v>0</v>
      </c>
      <c r="P36" s="73">
        <v>0</v>
      </c>
      <c r="Q36" s="73"/>
      <c r="R36" s="73"/>
      <c r="S36" s="61"/>
      <c r="T36" s="74"/>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spans="1:50" ht="18" hidden="1" customHeight="1" outlineLevel="1" x14ac:dyDescent="0.3">
      <c r="A37" s="1"/>
      <c r="B37" s="64" t="s">
        <v>145</v>
      </c>
      <c r="C37" s="73">
        <v>-149311</v>
      </c>
      <c r="D37" s="73">
        <v>-155498</v>
      </c>
      <c r="E37" s="73">
        <v>-154931</v>
      </c>
      <c r="F37" s="73">
        <v>-104330</v>
      </c>
      <c r="G37" s="73">
        <v>-123492</v>
      </c>
      <c r="H37" s="73">
        <v>-127569</v>
      </c>
      <c r="I37" s="73">
        <v>-125578</v>
      </c>
      <c r="J37" s="73">
        <v>-151660</v>
      </c>
      <c r="K37" s="73">
        <v>-190189</v>
      </c>
      <c r="L37" s="73">
        <v>-182996</v>
      </c>
      <c r="M37" s="73">
        <v>0</v>
      </c>
      <c r="N37" s="73">
        <v>0</v>
      </c>
      <c r="O37" s="73">
        <v>0</v>
      </c>
      <c r="P37" s="73">
        <v>0</v>
      </c>
      <c r="Q37" s="73"/>
      <c r="R37" s="73"/>
      <c r="S37" s="6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spans="1:50" ht="18" hidden="1" customHeight="1" outlineLevel="1" x14ac:dyDescent="0.3">
      <c r="A38" s="1"/>
      <c r="B38" s="64" t="s">
        <v>41</v>
      </c>
      <c r="C38" s="73">
        <v>0</v>
      </c>
      <c r="D38" s="73">
        <v>0</v>
      </c>
      <c r="E38" s="73">
        <v>0</v>
      </c>
      <c r="F38" s="73">
        <v>-20066</v>
      </c>
      <c r="G38" s="73">
        <v>-20816</v>
      </c>
      <c r="H38" s="73">
        <v>-22319</v>
      </c>
      <c r="I38" s="73">
        <v>-25748</v>
      </c>
      <c r="J38" s="73">
        <v>-29214</v>
      </c>
      <c r="K38" s="73">
        <v>-24497</v>
      </c>
      <c r="L38" s="73">
        <v>-24847</v>
      </c>
      <c r="M38" s="73">
        <v>0</v>
      </c>
      <c r="N38" s="73">
        <v>0</v>
      </c>
      <c r="O38" s="73">
        <v>0</v>
      </c>
      <c r="P38" s="73">
        <v>0</v>
      </c>
      <c r="Q38" s="73"/>
      <c r="R38" s="73"/>
      <c r="S38" s="6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spans="1:50" ht="18" hidden="1" customHeight="1" outlineLevel="1" x14ac:dyDescent="0.3">
      <c r="A39" s="1"/>
      <c r="B39" s="64" t="s">
        <v>40</v>
      </c>
      <c r="C39" s="73">
        <v>-59975</v>
      </c>
      <c r="D39" s="73">
        <v>-62258</v>
      </c>
      <c r="E39" s="73">
        <v>-62620</v>
      </c>
      <c r="F39" s="73">
        <v>-77544</v>
      </c>
      <c r="G39" s="73">
        <v>-82981</v>
      </c>
      <c r="H39" s="73">
        <v>-102325</v>
      </c>
      <c r="I39" s="73">
        <v>-171311</v>
      </c>
      <c r="J39" s="73">
        <v>-224582</v>
      </c>
      <c r="K39" s="73">
        <v>-214257</v>
      </c>
      <c r="L39" s="73">
        <v>-199705</v>
      </c>
      <c r="M39" s="73">
        <v>0</v>
      </c>
      <c r="N39" s="73">
        <v>0</v>
      </c>
      <c r="O39" s="73">
        <v>0</v>
      </c>
      <c r="P39" s="73">
        <v>0</v>
      </c>
      <c r="Q39" s="73"/>
      <c r="R39" s="73"/>
      <c r="S39" s="6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spans="1:50" ht="18" hidden="1" customHeight="1" outlineLevel="1" x14ac:dyDescent="0.3">
      <c r="A40" s="1"/>
      <c r="B40" s="64" t="s">
        <v>39</v>
      </c>
      <c r="C40" s="73">
        <v>-32088</v>
      </c>
      <c r="D40" s="73">
        <v>-33185</v>
      </c>
      <c r="E40" s="73">
        <v>-34615</v>
      </c>
      <c r="F40" s="73">
        <v>-6621</v>
      </c>
      <c r="G40" s="73">
        <v>-1746</v>
      </c>
      <c r="H40" s="73">
        <v>-5727</v>
      </c>
      <c r="I40" s="73">
        <v>-11784</v>
      </c>
      <c r="J40" s="73">
        <v>-9392</v>
      </c>
      <c r="K40" s="73">
        <v>-7024</v>
      </c>
      <c r="L40" s="73">
        <v>-12017</v>
      </c>
      <c r="M40" s="73">
        <v>0</v>
      </c>
      <c r="N40" s="73">
        <v>0</v>
      </c>
      <c r="O40" s="73">
        <v>0</v>
      </c>
      <c r="P40" s="73">
        <v>0</v>
      </c>
      <c r="Q40" s="73"/>
      <c r="R40" s="73"/>
      <c r="S40" s="6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r="41" spans="1:50" ht="18" hidden="1" customHeight="1" outlineLevel="1" x14ac:dyDescent="0.3">
      <c r="A41" s="1"/>
      <c r="B41" s="64" t="s">
        <v>42</v>
      </c>
      <c r="C41" s="73">
        <v>-22852</v>
      </c>
      <c r="D41" s="73">
        <v>-18215</v>
      </c>
      <c r="E41" s="73">
        <v>22672</v>
      </c>
      <c r="F41" s="73">
        <v>-17760</v>
      </c>
      <c r="G41" s="73">
        <v>580</v>
      </c>
      <c r="H41" s="73">
        <v>24822</v>
      </c>
      <c r="I41" s="73">
        <v>-38390</v>
      </c>
      <c r="J41" s="73">
        <v>-45276</v>
      </c>
      <c r="K41" s="73">
        <v>-54132</v>
      </c>
      <c r="L41" s="73">
        <f>-63549-34615</f>
        <v>-98164</v>
      </c>
      <c r="M41" s="73">
        <v>0</v>
      </c>
      <c r="N41" s="73">
        <v>0</v>
      </c>
      <c r="O41" s="73">
        <v>0</v>
      </c>
      <c r="P41" s="73">
        <v>0</v>
      </c>
      <c r="Q41" s="73"/>
      <c r="R41" s="73"/>
      <c r="S41" s="6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r="42" spans="1:50" ht="18" customHeight="1" collapsed="1" x14ac:dyDescent="0.3">
      <c r="A42" s="23"/>
      <c r="B42" s="63" t="s">
        <v>159</v>
      </c>
      <c r="C42" s="73">
        <v>0</v>
      </c>
      <c r="D42" s="73">
        <v>0</v>
      </c>
      <c r="E42" s="73">
        <v>0</v>
      </c>
      <c r="F42" s="73">
        <v>0</v>
      </c>
      <c r="G42" s="73">
        <v>0</v>
      </c>
      <c r="H42" s="73">
        <v>-492</v>
      </c>
      <c r="I42" s="73">
        <v>-64271</v>
      </c>
      <c r="J42" s="73">
        <v>-223878</v>
      </c>
      <c r="K42" s="73">
        <v>-202442</v>
      </c>
      <c r="L42" s="73">
        <v>-134301</v>
      </c>
      <c r="M42" s="130">
        <f>'Projeções - Receita Financeira'!M17</f>
        <v>-158034.33333333334</v>
      </c>
      <c r="N42" s="130">
        <f>'Projeções - Receita Financeira'!N17</f>
        <v>-181767.66666666669</v>
      </c>
      <c r="O42" s="130">
        <f>'Projeções - Receita Financeira'!O17</f>
        <v>-205501</v>
      </c>
      <c r="P42" s="130">
        <f>'Projeções - Receita Financeira'!P17</f>
        <v>-229234.33333333334</v>
      </c>
      <c r="Q42" s="73"/>
      <c r="R42" s="73"/>
      <c r="S42" s="80"/>
      <c r="T42" s="69"/>
      <c r="U42" s="1"/>
      <c r="V42" s="1"/>
      <c r="W42" s="5"/>
      <c r="X42" s="5"/>
      <c r="Y42" s="5"/>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r="43" spans="1:50" ht="18" customHeight="1" x14ac:dyDescent="0.3">
      <c r="A43" s="23"/>
      <c r="B43" s="63" t="s">
        <v>42</v>
      </c>
      <c r="C43" s="73">
        <f t="shared" ref="C43:J43" si="26">SUM(C44:C45,C48,C55:C61)</f>
        <v>7099</v>
      </c>
      <c r="D43" s="73">
        <f t="shared" si="26"/>
        <v>2808</v>
      </c>
      <c r="E43" s="73">
        <f t="shared" si="26"/>
        <v>2106</v>
      </c>
      <c r="F43" s="73">
        <f t="shared" si="26"/>
        <v>752462</v>
      </c>
      <c r="G43" s="73">
        <f t="shared" si="26"/>
        <v>86868</v>
      </c>
      <c r="H43" s="73">
        <f t="shared" si="26"/>
        <v>212024</v>
      </c>
      <c r="I43" s="73">
        <f t="shared" si="26"/>
        <v>177846</v>
      </c>
      <c r="J43" s="73">
        <f t="shared" si="26"/>
        <v>73513</v>
      </c>
      <c r="K43" s="73">
        <f t="shared" ref="K43:L43" si="27">SUM(K44:K45,K48,K55:K61)</f>
        <v>77432</v>
      </c>
      <c r="L43" s="73">
        <f t="shared" si="27"/>
        <v>217571</v>
      </c>
      <c r="M43" s="73">
        <v>0</v>
      </c>
      <c r="N43" s="73">
        <v>0</v>
      </c>
      <c r="O43" s="73">
        <v>0</v>
      </c>
      <c r="P43" s="73">
        <v>0</v>
      </c>
      <c r="Q43" s="73"/>
      <c r="R43" s="73"/>
      <c r="S43" s="61"/>
      <c r="T43" s="4"/>
      <c r="U43" s="1"/>
      <c r="V43" s="1"/>
      <c r="W43" s="5"/>
      <c r="X43" s="5"/>
      <c r="Y43" s="5"/>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r="44" spans="1:50" ht="18" hidden="1" customHeight="1" outlineLevel="1" x14ac:dyDescent="0.3">
      <c r="A44" s="23"/>
      <c r="B44" s="64" t="s">
        <v>594</v>
      </c>
      <c r="C44" s="73">
        <v>0</v>
      </c>
      <c r="D44" s="73">
        <v>0</v>
      </c>
      <c r="E44" s="73">
        <v>0</v>
      </c>
      <c r="F44" s="73">
        <v>0</v>
      </c>
      <c r="G44" s="73">
        <v>0</v>
      </c>
      <c r="H44" s="73">
        <v>0</v>
      </c>
      <c r="I44" s="73">
        <v>0</v>
      </c>
      <c r="J44" s="73">
        <v>-8410</v>
      </c>
      <c r="K44" s="73">
        <v>-29196</v>
      </c>
      <c r="L44" s="73">
        <v>-3230</v>
      </c>
      <c r="M44" s="73">
        <v>0</v>
      </c>
      <c r="N44" s="73">
        <v>0</v>
      </c>
      <c r="O44" s="73">
        <v>0</v>
      </c>
      <c r="P44" s="73">
        <v>0</v>
      </c>
      <c r="Q44" s="73"/>
      <c r="R44" s="73"/>
      <c r="S44" s="61"/>
      <c r="T44" s="4"/>
      <c r="U44" s="1"/>
      <c r="V44" s="1"/>
      <c r="W44" s="5"/>
      <c r="X44" s="5"/>
      <c r="Y44" s="5"/>
      <c r="Z44" s="1"/>
      <c r="AA44" s="1"/>
      <c r="AB44" s="1"/>
      <c r="AC44" s="1"/>
      <c r="AD44" s="1"/>
      <c r="AE44" s="1"/>
      <c r="AF44" s="1"/>
      <c r="AG44" s="1"/>
      <c r="AH44" s="1"/>
      <c r="AI44" s="1"/>
      <c r="AJ44" s="1"/>
      <c r="AK44" s="1"/>
      <c r="AL44" s="1"/>
      <c r="AM44" s="1"/>
      <c r="AN44" s="1"/>
      <c r="AO44" s="1"/>
      <c r="AP44" s="1"/>
      <c r="AQ44" s="1"/>
      <c r="AR44" s="1"/>
      <c r="AS44" s="1"/>
      <c r="AT44" s="1"/>
      <c r="AU44" s="1"/>
      <c r="AV44" s="1"/>
      <c r="AW44" s="1"/>
      <c r="AX44" s="1"/>
    </row>
    <row r="45" spans="1:50" ht="18" hidden="1" customHeight="1" outlineLevel="1" x14ac:dyDescent="0.3">
      <c r="A45" s="23"/>
      <c r="B45" s="64" t="s">
        <v>148</v>
      </c>
      <c r="C45" s="73">
        <f xml:space="preserve"> SUM(C46:C47)</f>
        <v>0</v>
      </c>
      <c r="D45" s="73">
        <f t="shared" ref="D45:J45" si="28" xml:space="preserve"> SUM(D46:D47)</f>
        <v>0</v>
      </c>
      <c r="E45" s="73">
        <f t="shared" si="28"/>
        <v>0</v>
      </c>
      <c r="F45" s="73">
        <f t="shared" si="28"/>
        <v>26382</v>
      </c>
      <c r="G45" s="73">
        <f t="shared" si="28"/>
        <v>6151</v>
      </c>
      <c r="H45" s="73">
        <f t="shared" si="28"/>
        <v>3901</v>
      </c>
      <c r="I45" s="73">
        <f t="shared" si="28"/>
        <v>6140</v>
      </c>
      <c r="J45" s="73">
        <f t="shared" si="28"/>
        <v>3816</v>
      </c>
      <c r="K45" s="73">
        <v>0</v>
      </c>
      <c r="L45" s="73">
        <v>0</v>
      </c>
      <c r="M45" s="73">
        <v>0</v>
      </c>
      <c r="N45" s="73">
        <v>0</v>
      </c>
      <c r="O45" s="73">
        <v>0</v>
      </c>
      <c r="P45" s="73">
        <v>0</v>
      </c>
      <c r="Q45" s="73"/>
      <c r="R45" s="73"/>
      <c r="S45" s="61"/>
      <c r="T45" s="4"/>
      <c r="U45" s="1"/>
      <c r="V45" s="1"/>
      <c r="W45" s="5"/>
      <c r="X45" s="5"/>
      <c r="Y45" s="5"/>
      <c r="Z45" s="1"/>
      <c r="AA45" s="1"/>
      <c r="AB45" s="1"/>
      <c r="AC45" s="1"/>
      <c r="AD45" s="1"/>
      <c r="AE45" s="1"/>
      <c r="AF45" s="1"/>
      <c r="AG45" s="1"/>
      <c r="AH45" s="1"/>
      <c r="AI45" s="1"/>
      <c r="AJ45" s="1"/>
      <c r="AK45" s="1"/>
      <c r="AL45" s="1"/>
      <c r="AM45" s="1"/>
      <c r="AN45" s="1"/>
      <c r="AO45" s="1"/>
      <c r="AP45" s="1"/>
      <c r="AQ45" s="1"/>
      <c r="AR45" s="1"/>
      <c r="AS45" s="1"/>
      <c r="AT45" s="1"/>
      <c r="AU45" s="1"/>
      <c r="AV45" s="1"/>
      <c r="AW45" s="1"/>
      <c r="AX45" s="1"/>
    </row>
    <row r="46" spans="1:50" ht="18" hidden="1" customHeight="1" outlineLevel="1" x14ac:dyDescent="0.3">
      <c r="A46" s="23"/>
      <c r="B46" s="65" t="s">
        <v>149</v>
      </c>
      <c r="C46" s="73">
        <v>0</v>
      </c>
      <c r="D46" s="73">
        <v>0</v>
      </c>
      <c r="E46" s="73">
        <v>0</v>
      </c>
      <c r="F46" s="73">
        <v>15118</v>
      </c>
      <c r="G46" s="73">
        <v>5147</v>
      </c>
      <c r="H46" s="73">
        <v>-2220</v>
      </c>
      <c r="I46" s="73">
        <v>3966</v>
      </c>
      <c r="J46" s="73">
        <v>3816</v>
      </c>
      <c r="K46" s="73">
        <v>0</v>
      </c>
      <c r="L46" s="73">
        <v>0</v>
      </c>
      <c r="M46" s="73">
        <v>0</v>
      </c>
      <c r="N46" s="73">
        <v>0</v>
      </c>
      <c r="O46" s="73">
        <v>0</v>
      </c>
      <c r="P46" s="73">
        <v>0</v>
      </c>
      <c r="Q46" s="73"/>
      <c r="R46" s="73"/>
      <c r="S46" s="61"/>
      <c r="T46" s="4"/>
      <c r="U46" s="1"/>
      <c r="V46" s="1"/>
      <c r="W46" s="5"/>
      <c r="X46" s="5"/>
      <c r="Y46" s="5"/>
      <c r="Z46" s="1"/>
      <c r="AA46" s="1"/>
      <c r="AB46" s="1"/>
      <c r="AC46" s="1"/>
      <c r="AD46" s="1"/>
      <c r="AE46" s="1"/>
      <c r="AF46" s="1"/>
      <c r="AG46" s="1"/>
      <c r="AH46" s="1"/>
      <c r="AI46" s="1"/>
      <c r="AJ46" s="1"/>
      <c r="AK46" s="1"/>
      <c r="AL46" s="1"/>
      <c r="AM46" s="1"/>
      <c r="AN46" s="1"/>
      <c r="AO46" s="1"/>
      <c r="AP46" s="1"/>
      <c r="AQ46" s="1"/>
      <c r="AR46" s="1"/>
      <c r="AS46" s="1"/>
      <c r="AT46" s="1"/>
      <c r="AU46" s="1"/>
      <c r="AV46" s="1"/>
      <c r="AW46" s="1"/>
      <c r="AX46" s="1"/>
    </row>
    <row r="47" spans="1:50" ht="18" hidden="1" customHeight="1" outlineLevel="1" x14ac:dyDescent="0.3">
      <c r="A47" s="23"/>
      <c r="B47" s="65" t="s">
        <v>150</v>
      </c>
      <c r="C47" s="73">
        <v>0</v>
      </c>
      <c r="D47" s="73"/>
      <c r="E47" s="73">
        <v>0</v>
      </c>
      <c r="F47" s="73">
        <v>11264</v>
      </c>
      <c r="G47" s="73">
        <v>1004</v>
      </c>
      <c r="H47" s="73">
        <v>6121</v>
      </c>
      <c r="I47" s="73">
        <v>2174</v>
      </c>
      <c r="J47" s="73">
        <v>0</v>
      </c>
      <c r="K47" s="73">
        <v>0</v>
      </c>
      <c r="L47" s="73">
        <v>0</v>
      </c>
      <c r="M47" s="73">
        <v>0</v>
      </c>
      <c r="N47" s="73">
        <v>0</v>
      </c>
      <c r="O47" s="73">
        <v>0</v>
      </c>
      <c r="P47" s="73">
        <v>0</v>
      </c>
      <c r="Q47" s="73"/>
      <c r="R47" s="73"/>
      <c r="S47" s="61"/>
      <c r="T47" s="4"/>
      <c r="U47" s="1"/>
      <c r="V47" s="1"/>
      <c r="W47" s="5"/>
      <c r="X47" s="5"/>
      <c r="Y47" s="5"/>
      <c r="Z47" s="1"/>
      <c r="AA47" s="1"/>
      <c r="AB47" s="1"/>
      <c r="AC47" s="1"/>
      <c r="AD47" s="1"/>
      <c r="AE47" s="1"/>
      <c r="AF47" s="1"/>
      <c r="AG47" s="1"/>
      <c r="AH47" s="1"/>
      <c r="AI47" s="1"/>
      <c r="AJ47" s="1"/>
      <c r="AK47" s="1"/>
      <c r="AL47" s="1"/>
      <c r="AM47" s="1"/>
      <c r="AN47" s="1"/>
      <c r="AO47" s="1"/>
      <c r="AP47" s="1"/>
      <c r="AQ47" s="1"/>
      <c r="AR47" s="1"/>
      <c r="AS47" s="1"/>
      <c r="AT47" s="1"/>
      <c r="AU47" s="1"/>
      <c r="AV47" s="1"/>
      <c r="AW47" s="1"/>
      <c r="AX47" s="1"/>
    </row>
    <row r="48" spans="1:50" ht="18" hidden="1" customHeight="1" outlineLevel="1" x14ac:dyDescent="0.3">
      <c r="A48" s="23"/>
      <c r="B48" s="64" t="s">
        <v>43</v>
      </c>
      <c r="C48" s="73">
        <f>SUM(C49:C54)</f>
        <v>0</v>
      </c>
      <c r="D48" s="73">
        <f>SUM(D49:D54)</f>
        <v>0</v>
      </c>
      <c r="E48" s="73">
        <f>SUM(E49:E54)</f>
        <v>0</v>
      </c>
      <c r="F48" s="73">
        <f>SUM(F49:F54)</f>
        <v>644893</v>
      </c>
      <c r="G48" s="73">
        <f>SUM(G49:G54)</f>
        <v>150429</v>
      </c>
      <c r="H48" s="73">
        <v>228404</v>
      </c>
      <c r="I48" s="73">
        <v>200382</v>
      </c>
      <c r="J48" s="73">
        <v>73094</v>
      </c>
      <c r="K48" s="73">
        <v>116421</v>
      </c>
      <c r="L48" s="73">
        <v>9153</v>
      </c>
      <c r="M48" s="73">
        <v>0</v>
      </c>
      <c r="N48" s="73">
        <v>0</v>
      </c>
      <c r="O48" s="73">
        <v>0</v>
      </c>
      <c r="P48" s="73">
        <v>0</v>
      </c>
      <c r="Q48" s="73"/>
      <c r="R48" s="73"/>
      <c r="S48" s="61"/>
      <c r="T48" s="4"/>
      <c r="U48" s="1"/>
      <c r="V48" s="1"/>
      <c r="W48" s="5"/>
      <c r="X48" s="5"/>
      <c r="Y48" s="5"/>
      <c r="Z48" s="1"/>
      <c r="AA48" s="1"/>
      <c r="AB48" s="1"/>
      <c r="AC48" s="1"/>
      <c r="AD48" s="1"/>
      <c r="AE48" s="1"/>
      <c r="AF48" s="1"/>
      <c r="AG48" s="1"/>
      <c r="AH48" s="1"/>
      <c r="AI48" s="1"/>
      <c r="AJ48" s="1"/>
      <c r="AK48" s="1"/>
      <c r="AL48" s="1"/>
      <c r="AM48" s="1"/>
      <c r="AN48" s="1"/>
      <c r="AO48" s="1"/>
      <c r="AP48" s="1"/>
      <c r="AQ48" s="1"/>
      <c r="AR48" s="1"/>
      <c r="AS48" s="1"/>
      <c r="AT48" s="1"/>
      <c r="AU48" s="1"/>
      <c r="AV48" s="1"/>
      <c r="AW48" s="1"/>
      <c r="AX48" s="1"/>
    </row>
    <row r="49" spans="1:50" ht="18" hidden="1" customHeight="1" outlineLevel="1" x14ac:dyDescent="0.3">
      <c r="A49" s="23"/>
      <c r="B49" s="65" t="s">
        <v>151</v>
      </c>
      <c r="C49" s="73">
        <v>0</v>
      </c>
      <c r="D49" s="73">
        <v>0</v>
      </c>
      <c r="E49" s="73">
        <v>0</v>
      </c>
      <c r="F49" s="73">
        <v>663538</v>
      </c>
      <c r="G49" s="73">
        <v>0</v>
      </c>
      <c r="H49" s="73">
        <v>0</v>
      </c>
      <c r="I49" s="73">
        <v>0</v>
      </c>
      <c r="J49" s="73">
        <v>0</v>
      </c>
      <c r="K49" s="73">
        <v>0</v>
      </c>
      <c r="L49" s="73">
        <v>0</v>
      </c>
      <c r="M49" s="73">
        <v>0</v>
      </c>
      <c r="N49" s="73">
        <v>0</v>
      </c>
      <c r="O49" s="73">
        <v>0</v>
      </c>
      <c r="P49" s="73">
        <v>0</v>
      </c>
      <c r="Q49" s="73"/>
      <c r="R49" s="73"/>
      <c r="S49" s="61"/>
      <c r="T49" s="4"/>
      <c r="U49" s="1"/>
      <c r="V49" s="1"/>
      <c r="W49" s="5"/>
      <c r="X49" s="5"/>
      <c r="Y49" s="5"/>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spans="1:50" ht="18" hidden="1" customHeight="1" outlineLevel="1" x14ac:dyDescent="0.3">
      <c r="A50" s="23"/>
      <c r="B50" s="65" t="s">
        <v>152</v>
      </c>
      <c r="C50" s="73">
        <v>0</v>
      </c>
      <c r="D50" s="73">
        <v>0</v>
      </c>
      <c r="E50" s="73">
        <v>0</v>
      </c>
      <c r="F50" s="73">
        <v>0</v>
      </c>
      <c r="G50" s="73">
        <v>94902</v>
      </c>
      <c r="H50" s="73">
        <v>0</v>
      </c>
      <c r="I50" s="73">
        <v>0</v>
      </c>
      <c r="J50" s="73">
        <v>0</v>
      </c>
      <c r="K50" s="73">
        <v>0</v>
      </c>
      <c r="L50" s="73">
        <v>0</v>
      </c>
      <c r="M50" s="73">
        <v>0</v>
      </c>
      <c r="N50" s="73">
        <v>0</v>
      </c>
      <c r="O50" s="73">
        <v>0</v>
      </c>
      <c r="P50" s="73">
        <v>0</v>
      </c>
      <c r="Q50" s="73"/>
      <c r="R50" s="73"/>
      <c r="S50" s="61"/>
      <c r="T50" s="4"/>
      <c r="U50" s="1"/>
      <c r="V50" s="1"/>
      <c r="W50" s="5"/>
      <c r="X50" s="5"/>
      <c r="Y50" s="5"/>
      <c r="Z50" s="1"/>
      <c r="AA50" s="1"/>
      <c r="AB50" s="1"/>
      <c r="AC50" s="1"/>
      <c r="AD50" s="1"/>
      <c r="AE50" s="1"/>
      <c r="AF50" s="1"/>
      <c r="AG50" s="1"/>
      <c r="AH50" s="1"/>
      <c r="AI50" s="1"/>
      <c r="AJ50" s="1"/>
      <c r="AK50" s="1"/>
      <c r="AL50" s="1"/>
      <c r="AM50" s="1"/>
      <c r="AN50" s="1"/>
      <c r="AO50" s="1"/>
      <c r="AP50" s="1"/>
      <c r="AQ50" s="1"/>
      <c r="AR50" s="1"/>
      <c r="AS50" s="1"/>
      <c r="AT50" s="1"/>
      <c r="AU50" s="1"/>
      <c r="AV50" s="1"/>
      <c r="AW50" s="1"/>
      <c r="AX50" s="1"/>
    </row>
    <row r="51" spans="1:50" ht="18" hidden="1" customHeight="1" outlineLevel="1" x14ac:dyDescent="0.3">
      <c r="A51" s="23"/>
      <c r="B51" s="65" t="s">
        <v>153</v>
      </c>
      <c r="C51" s="73">
        <v>0</v>
      </c>
      <c r="D51" s="73">
        <v>0</v>
      </c>
      <c r="E51" s="73">
        <v>0</v>
      </c>
      <c r="F51" s="73">
        <v>0</v>
      </c>
      <c r="G51" s="73">
        <v>47654</v>
      </c>
      <c r="H51" s="73">
        <v>0</v>
      </c>
      <c r="I51" s="73">
        <v>0</v>
      </c>
      <c r="J51" s="73">
        <v>0</v>
      </c>
      <c r="K51" s="73">
        <v>0</v>
      </c>
      <c r="L51" s="73">
        <v>0</v>
      </c>
      <c r="M51" s="73">
        <v>0</v>
      </c>
      <c r="N51" s="73">
        <v>0</v>
      </c>
      <c r="O51" s="73">
        <v>0</v>
      </c>
      <c r="P51" s="73">
        <v>0</v>
      </c>
      <c r="Q51" s="73"/>
      <c r="R51" s="73"/>
      <c r="S51" s="61"/>
      <c r="T51" s="4"/>
      <c r="U51" s="1"/>
      <c r="V51" s="1"/>
      <c r="W51" s="5"/>
      <c r="X51" s="5"/>
      <c r="Y51" s="5"/>
      <c r="Z51" s="1"/>
      <c r="AA51" s="1"/>
      <c r="AB51" s="1"/>
      <c r="AC51" s="1"/>
      <c r="AD51" s="1"/>
      <c r="AE51" s="1"/>
      <c r="AF51" s="1"/>
      <c r="AG51" s="1"/>
      <c r="AH51" s="1"/>
      <c r="AI51" s="1"/>
      <c r="AJ51" s="1"/>
      <c r="AK51" s="1"/>
      <c r="AL51" s="1"/>
      <c r="AM51" s="1"/>
      <c r="AN51" s="1"/>
      <c r="AO51" s="1"/>
      <c r="AP51" s="1"/>
      <c r="AQ51" s="1"/>
      <c r="AR51" s="1"/>
      <c r="AS51" s="1"/>
      <c r="AT51" s="1"/>
      <c r="AU51" s="1"/>
      <c r="AV51" s="1"/>
      <c r="AW51" s="1"/>
      <c r="AX51" s="1"/>
    </row>
    <row r="52" spans="1:50" ht="18" hidden="1" customHeight="1" outlineLevel="1" x14ac:dyDescent="0.3">
      <c r="A52" s="23"/>
      <c r="B52" s="65" t="s">
        <v>154</v>
      </c>
      <c r="C52" s="73">
        <v>0</v>
      </c>
      <c r="D52" s="73">
        <v>0</v>
      </c>
      <c r="E52" s="73">
        <v>0</v>
      </c>
      <c r="F52" s="73">
        <v>0</v>
      </c>
      <c r="G52" s="73">
        <v>22014</v>
      </c>
      <c r="H52" s="73">
        <v>0</v>
      </c>
      <c r="I52" s="73">
        <v>0</v>
      </c>
      <c r="J52" s="73">
        <v>0</v>
      </c>
      <c r="K52" s="73">
        <v>0</v>
      </c>
      <c r="L52" s="73">
        <v>0</v>
      </c>
      <c r="M52" s="73">
        <v>0</v>
      </c>
      <c r="N52" s="73">
        <v>0</v>
      </c>
      <c r="O52" s="73">
        <v>0</v>
      </c>
      <c r="P52" s="73">
        <v>0</v>
      </c>
      <c r="Q52" s="73"/>
      <c r="R52" s="73"/>
      <c r="S52" s="61"/>
      <c r="T52" s="4"/>
      <c r="U52" s="1"/>
      <c r="V52" s="1"/>
      <c r="W52" s="5"/>
      <c r="X52" s="5"/>
      <c r="Y52" s="5"/>
      <c r="Z52" s="1"/>
      <c r="AA52" s="1"/>
      <c r="AB52" s="1"/>
      <c r="AC52" s="1"/>
      <c r="AD52" s="1"/>
      <c r="AE52" s="1"/>
      <c r="AF52" s="1"/>
      <c r="AG52" s="1"/>
      <c r="AH52" s="1"/>
      <c r="AI52" s="1"/>
      <c r="AJ52" s="1"/>
      <c r="AK52" s="1"/>
      <c r="AL52" s="1"/>
      <c r="AM52" s="1"/>
      <c r="AN52" s="1"/>
      <c r="AO52" s="1"/>
      <c r="AP52" s="1"/>
      <c r="AQ52" s="1"/>
      <c r="AR52" s="1"/>
      <c r="AS52" s="1"/>
      <c r="AT52" s="1"/>
      <c r="AU52" s="1"/>
      <c r="AV52" s="1"/>
      <c r="AW52" s="1"/>
      <c r="AX52" s="1"/>
    </row>
    <row r="53" spans="1:50" ht="18" hidden="1" customHeight="1" outlineLevel="1" x14ac:dyDescent="0.3">
      <c r="A53" s="23"/>
      <c r="B53" s="65" t="s">
        <v>155</v>
      </c>
      <c r="C53" s="73">
        <v>0</v>
      </c>
      <c r="D53" s="73">
        <v>0</v>
      </c>
      <c r="E53" s="73">
        <v>0</v>
      </c>
      <c r="F53" s="73">
        <v>2853</v>
      </c>
      <c r="G53" s="73">
        <v>0</v>
      </c>
      <c r="H53" s="73">
        <v>0</v>
      </c>
      <c r="I53" s="73">
        <v>0</v>
      </c>
      <c r="J53" s="73">
        <v>0</v>
      </c>
      <c r="K53" s="73">
        <v>0</v>
      </c>
      <c r="L53" s="73">
        <v>0</v>
      </c>
      <c r="M53" s="73">
        <v>0</v>
      </c>
      <c r="N53" s="73">
        <v>0</v>
      </c>
      <c r="O53" s="73">
        <v>0</v>
      </c>
      <c r="P53" s="73">
        <v>0</v>
      </c>
      <c r="Q53" s="73"/>
      <c r="R53" s="73"/>
      <c r="S53" s="61"/>
      <c r="T53" s="4"/>
      <c r="U53" s="1"/>
      <c r="V53" s="1"/>
      <c r="W53" s="5"/>
      <c r="X53" s="5"/>
      <c r="Y53" s="5"/>
      <c r="Z53" s="1"/>
      <c r="AA53" s="1"/>
      <c r="AB53" s="1"/>
      <c r="AC53" s="1"/>
      <c r="AD53" s="1"/>
      <c r="AE53" s="1"/>
      <c r="AF53" s="1"/>
      <c r="AG53" s="1"/>
      <c r="AH53" s="1"/>
      <c r="AI53" s="1"/>
      <c r="AJ53" s="1"/>
      <c r="AK53" s="1"/>
      <c r="AL53" s="1"/>
      <c r="AM53" s="1"/>
      <c r="AN53" s="1"/>
      <c r="AO53" s="1"/>
      <c r="AP53" s="1"/>
      <c r="AQ53" s="1"/>
      <c r="AR53" s="1"/>
      <c r="AS53" s="1"/>
      <c r="AT53" s="1"/>
      <c r="AU53" s="1"/>
      <c r="AV53" s="1"/>
      <c r="AW53" s="1"/>
      <c r="AX53" s="1"/>
    </row>
    <row r="54" spans="1:50" ht="18" hidden="1" customHeight="1" outlineLevel="1" x14ac:dyDescent="0.3">
      <c r="A54" s="23"/>
      <c r="B54" s="65" t="s">
        <v>156</v>
      </c>
      <c r="C54" s="73">
        <v>0</v>
      </c>
      <c r="D54" s="73">
        <v>0</v>
      </c>
      <c r="E54" s="73">
        <v>0</v>
      </c>
      <c r="F54" s="73">
        <v>-21498</v>
      </c>
      <c r="G54" s="73">
        <v>-14141</v>
      </c>
      <c r="H54" s="73">
        <v>0</v>
      </c>
      <c r="I54" s="73">
        <v>0</v>
      </c>
      <c r="J54" s="73">
        <v>0</v>
      </c>
      <c r="K54" s="73">
        <v>0</v>
      </c>
      <c r="L54" s="73">
        <v>0</v>
      </c>
      <c r="M54" s="73">
        <v>0</v>
      </c>
      <c r="N54" s="73">
        <v>0</v>
      </c>
      <c r="O54" s="73">
        <v>0</v>
      </c>
      <c r="P54" s="73">
        <v>0</v>
      </c>
      <c r="Q54" s="73"/>
      <c r="R54" s="73"/>
      <c r="S54" s="61"/>
      <c r="T54" s="4"/>
      <c r="U54" s="1"/>
      <c r="V54" s="1"/>
      <c r="W54" s="5"/>
      <c r="X54" s="5"/>
      <c r="Y54" s="5"/>
      <c r="Z54" s="1"/>
      <c r="AA54" s="1"/>
      <c r="AB54" s="1"/>
      <c r="AC54" s="1"/>
      <c r="AD54" s="1"/>
      <c r="AE54" s="1"/>
      <c r="AF54" s="1"/>
      <c r="AG54" s="1"/>
      <c r="AH54" s="1"/>
      <c r="AI54" s="1"/>
      <c r="AJ54" s="1"/>
      <c r="AK54" s="1"/>
      <c r="AL54" s="1"/>
      <c r="AM54" s="1"/>
      <c r="AN54" s="1"/>
      <c r="AO54" s="1"/>
      <c r="AP54" s="1"/>
      <c r="AQ54" s="1"/>
      <c r="AR54" s="1"/>
      <c r="AS54" s="1"/>
      <c r="AT54" s="1"/>
      <c r="AU54" s="1"/>
      <c r="AV54" s="1"/>
      <c r="AW54" s="1"/>
      <c r="AX54" s="1"/>
    </row>
    <row r="55" spans="1:50" ht="18" hidden="1" customHeight="1" outlineLevel="1" x14ac:dyDescent="0.3">
      <c r="A55" s="23"/>
      <c r="B55" s="64" t="s">
        <v>157</v>
      </c>
      <c r="C55" s="73">
        <v>0</v>
      </c>
      <c r="D55" s="73">
        <v>0</v>
      </c>
      <c r="E55" s="73">
        <v>0</v>
      </c>
      <c r="F55" s="73">
        <v>72272</v>
      </c>
      <c r="G55" s="73">
        <v>-25791</v>
      </c>
      <c r="H55" s="73">
        <v>-13644</v>
      </c>
      <c r="I55" s="73">
        <v>-6453</v>
      </c>
      <c r="J55" s="73">
        <v>10536</v>
      </c>
      <c r="K55" s="73">
        <v>6204</v>
      </c>
      <c r="L55" s="73">
        <v>63599</v>
      </c>
      <c r="M55" s="73">
        <v>0</v>
      </c>
      <c r="N55" s="73">
        <v>0</v>
      </c>
      <c r="O55" s="73">
        <v>0</v>
      </c>
      <c r="P55" s="73">
        <v>0</v>
      </c>
      <c r="Q55" s="73"/>
      <c r="R55" s="73"/>
      <c r="S55" s="61"/>
      <c r="T55" s="4"/>
      <c r="U55" s="1"/>
      <c r="V55" s="1"/>
      <c r="W55" s="5"/>
      <c r="X55" s="5"/>
      <c r="Y55" s="5"/>
      <c r="Z55" s="1"/>
      <c r="AA55" s="1"/>
      <c r="AB55" s="1"/>
      <c r="AC55" s="1"/>
      <c r="AD55" s="1"/>
      <c r="AE55" s="1"/>
      <c r="AF55" s="1"/>
      <c r="AG55" s="1"/>
      <c r="AH55" s="1"/>
      <c r="AI55" s="1"/>
      <c r="AJ55" s="1"/>
      <c r="AK55" s="1"/>
      <c r="AL55" s="1"/>
      <c r="AM55" s="1"/>
      <c r="AN55" s="1"/>
      <c r="AO55" s="1"/>
      <c r="AP55" s="1"/>
      <c r="AQ55" s="1"/>
      <c r="AR55" s="1"/>
      <c r="AS55" s="1"/>
      <c r="AT55" s="1"/>
      <c r="AU55" s="1"/>
      <c r="AV55" s="1"/>
      <c r="AW55" s="1"/>
      <c r="AX55" s="1"/>
    </row>
    <row r="56" spans="1:50" ht="18" hidden="1" customHeight="1" outlineLevel="1" x14ac:dyDescent="0.3">
      <c r="A56" s="23"/>
      <c r="B56" s="64" t="s">
        <v>158</v>
      </c>
      <c r="C56" s="73">
        <v>0</v>
      </c>
      <c r="D56" s="73">
        <v>0</v>
      </c>
      <c r="E56" s="73">
        <v>0</v>
      </c>
      <c r="F56" s="73">
        <v>0</v>
      </c>
      <c r="G56" s="73">
        <v>-29859</v>
      </c>
      <c r="H56" s="73">
        <v>-4309</v>
      </c>
      <c r="I56" s="73">
        <v>-7104</v>
      </c>
      <c r="J56" s="73">
        <v>-5030</v>
      </c>
      <c r="K56" s="73">
        <v>0</v>
      </c>
      <c r="L56" s="73">
        <v>-5949</v>
      </c>
      <c r="M56" s="73">
        <v>0</v>
      </c>
      <c r="N56" s="73">
        <v>0</v>
      </c>
      <c r="O56" s="73">
        <v>0</v>
      </c>
      <c r="P56" s="73">
        <v>0</v>
      </c>
      <c r="Q56" s="73"/>
      <c r="R56" s="73"/>
      <c r="S56" s="61"/>
      <c r="T56" s="4"/>
      <c r="U56" s="1"/>
      <c r="V56" s="1"/>
      <c r="W56" s="5"/>
      <c r="X56" s="5"/>
      <c r="Y56" s="5"/>
      <c r="Z56" s="1"/>
      <c r="AA56" s="1"/>
      <c r="AB56" s="1"/>
      <c r="AC56" s="1"/>
      <c r="AD56" s="1"/>
      <c r="AE56" s="1"/>
      <c r="AF56" s="1"/>
      <c r="AG56" s="1"/>
      <c r="AH56" s="1"/>
      <c r="AI56" s="1"/>
      <c r="AJ56" s="1"/>
      <c r="AK56" s="1"/>
      <c r="AL56" s="1"/>
      <c r="AM56" s="1"/>
      <c r="AN56" s="1"/>
      <c r="AO56" s="1"/>
      <c r="AP56" s="1"/>
      <c r="AQ56" s="1"/>
      <c r="AR56" s="1"/>
      <c r="AS56" s="1"/>
      <c r="AT56" s="1"/>
      <c r="AU56" s="1"/>
      <c r="AV56" s="1"/>
      <c r="AW56" s="1"/>
      <c r="AX56" s="1"/>
    </row>
    <row r="57" spans="1:50" ht="18" hidden="1" customHeight="1" outlineLevel="1" x14ac:dyDescent="0.3">
      <c r="A57" s="23"/>
      <c r="B57" s="64" t="s">
        <v>40</v>
      </c>
      <c r="C57" s="73">
        <v>-811</v>
      </c>
      <c r="D57" s="73">
        <v>-281</v>
      </c>
      <c r="E57" s="73">
        <v>0</v>
      </c>
      <c r="F57" s="73">
        <v>0</v>
      </c>
      <c r="G57" s="73">
        <v>0</v>
      </c>
      <c r="H57" s="73">
        <v>0</v>
      </c>
      <c r="I57" s="73">
        <v>0</v>
      </c>
      <c r="J57" s="73">
        <v>0</v>
      </c>
      <c r="K57" s="73">
        <v>0</v>
      </c>
      <c r="L57" s="73">
        <v>0</v>
      </c>
      <c r="M57" s="73">
        <v>0</v>
      </c>
      <c r="N57" s="73">
        <v>0</v>
      </c>
      <c r="O57" s="73">
        <v>0</v>
      </c>
      <c r="P57" s="73">
        <v>0</v>
      </c>
      <c r="Q57" s="73"/>
      <c r="R57" s="73"/>
      <c r="S57" s="61"/>
      <c r="T57" s="4"/>
      <c r="U57" s="1"/>
      <c r="V57" s="1"/>
      <c r="W57" s="5"/>
      <c r="X57" s="5"/>
      <c r="Y57" s="5"/>
      <c r="Z57" s="1"/>
      <c r="AA57" s="1"/>
      <c r="AB57" s="1"/>
      <c r="AC57" s="1"/>
      <c r="AD57" s="1"/>
      <c r="AE57" s="1"/>
      <c r="AF57" s="1"/>
      <c r="AG57" s="1"/>
      <c r="AH57" s="1"/>
      <c r="AI57" s="1"/>
      <c r="AJ57" s="1"/>
      <c r="AK57" s="1"/>
      <c r="AL57" s="1"/>
      <c r="AM57" s="1"/>
      <c r="AN57" s="1"/>
      <c r="AO57" s="1"/>
      <c r="AP57" s="1"/>
      <c r="AQ57" s="1"/>
      <c r="AR57" s="1"/>
      <c r="AS57" s="1"/>
      <c r="AT57" s="1"/>
      <c r="AU57" s="1"/>
      <c r="AV57" s="1"/>
      <c r="AW57" s="1"/>
      <c r="AX57" s="1"/>
    </row>
    <row r="58" spans="1:50" ht="18" hidden="1" customHeight="1" outlineLevel="1" x14ac:dyDescent="0.3">
      <c r="A58" s="23"/>
      <c r="B58" s="64" t="s">
        <v>160</v>
      </c>
      <c r="C58" s="73">
        <v>0</v>
      </c>
      <c r="D58" s="73">
        <v>0</v>
      </c>
      <c r="E58" s="73">
        <v>0</v>
      </c>
      <c r="F58" s="73">
        <v>0</v>
      </c>
      <c r="G58" s="73">
        <v>0</v>
      </c>
      <c r="H58" s="73">
        <v>0</v>
      </c>
      <c r="I58" s="73">
        <v>0</v>
      </c>
      <c r="J58" s="73">
        <v>0</v>
      </c>
      <c r="K58" s="73">
        <v>0</v>
      </c>
      <c r="L58" s="73">
        <v>0</v>
      </c>
      <c r="M58" s="73">
        <v>0</v>
      </c>
      <c r="N58" s="73">
        <v>0</v>
      </c>
      <c r="O58" s="73">
        <v>0</v>
      </c>
      <c r="P58" s="73">
        <v>0</v>
      </c>
      <c r="Q58" s="73"/>
      <c r="R58" s="73"/>
      <c r="S58" s="61"/>
      <c r="T58" s="4"/>
      <c r="U58" s="1"/>
      <c r="V58" s="1"/>
      <c r="W58" s="5"/>
      <c r="X58" s="5"/>
      <c r="Y58" s="5"/>
      <c r="Z58" s="1"/>
      <c r="AA58" s="1"/>
      <c r="AB58" s="1"/>
      <c r="AC58" s="1"/>
      <c r="AD58" s="1"/>
      <c r="AE58" s="1"/>
      <c r="AF58" s="1"/>
      <c r="AG58" s="1"/>
      <c r="AH58" s="1"/>
      <c r="AI58" s="1"/>
      <c r="AJ58" s="1"/>
      <c r="AK58" s="1"/>
      <c r="AL58" s="1"/>
      <c r="AM58" s="1"/>
      <c r="AN58" s="1"/>
      <c r="AO58" s="1"/>
      <c r="AP58" s="1"/>
      <c r="AQ58" s="1"/>
      <c r="AR58" s="1"/>
      <c r="AS58" s="1"/>
      <c r="AT58" s="1"/>
      <c r="AU58" s="1"/>
      <c r="AV58" s="1"/>
      <c r="AW58" s="1"/>
      <c r="AX58" s="1"/>
    </row>
    <row r="59" spans="1:50" ht="18" hidden="1" customHeight="1" outlineLevel="1" x14ac:dyDescent="0.3">
      <c r="A59" s="23"/>
      <c r="B59" s="64" t="s">
        <v>595</v>
      </c>
      <c r="C59" s="73">
        <v>0</v>
      </c>
      <c r="D59" s="73">
        <v>0</v>
      </c>
      <c r="E59" s="73">
        <v>0</v>
      </c>
      <c r="F59" s="73">
        <v>0</v>
      </c>
      <c r="G59" s="73">
        <v>0</v>
      </c>
      <c r="H59" s="73">
        <v>0</v>
      </c>
      <c r="I59" s="73">
        <v>0</v>
      </c>
      <c r="J59" s="73">
        <v>0</v>
      </c>
      <c r="K59" s="73">
        <v>0</v>
      </c>
      <c r="L59" s="73">
        <v>154275</v>
      </c>
      <c r="M59" s="73">
        <v>0</v>
      </c>
      <c r="N59" s="73">
        <v>0</v>
      </c>
      <c r="O59" s="73">
        <v>0</v>
      </c>
      <c r="P59" s="73">
        <v>0</v>
      </c>
      <c r="Q59" s="73"/>
      <c r="R59" s="73"/>
      <c r="S59" s="61"/>
      <c r="T59" s="4"/>
      <c r="U59" s="1"/>
      <c r="V59" s="1"/>
      <c r="W59" s="5"/>
      <c r="X59" s="5"/>
      <c r="Y59" s="5"/>
      <c r="Z59" s="1"/>
      <c r="AA59" s="1"/>
      <c r="AB59" s="1"/>
      <c r="AC59" s="1"/>
      <c r="AD59" s="1"/>
      <c r="AE59" s="1"/>
      <c r="AF59" s="1"/>
      <c r="AG59" s="1"/>
      <c r="AH59" s="1"/>
      <c r="AI59" s="1"/>
      <c r="AJ59" s="1"/>
      <c r="AK59" s="1"/>
      <c r="AL59" s="1"/>
      <c r="AM59" s="1"/>
      <c r="AN59" s="1"/>
      <c r="AO59" s="1"/>
      <c r="AP59" s="1"/>
      <c r="AQ59" s="1"/>
      <c r="AR59" s="1"/>
      <c r="AS59" s="1"/>
      <c r="AT59" s="1"/>
      <c r="AU59" s="1"/>
      <c r="AV59" s="1"/>
      <c r="AW59" s="1"/>
      <c r="AX59" s="1"/>
    </row>
    <row r="60" spans="1:50" ht="18" hidden="1" customHeight="1" outlineLevel="1" x14ac:dyDescent="0.3">
      <c r="A60" s="23"/>
      <c r="B60" s="64" t="s">
        <v>110</v>
      </c>
      <c r="C60" s="73">
        <v>0</v>
      </c>
      <c r="D60" s="73">
        <v>0</v>
      </c>
      <c r="E60" s="73">
        <v>0</v>
      </c>
      <c r="F60" s="73">
        <v>0</v>
      </c>
      <c r="G60" s="73">
        <v>0</v>
      </c>
      <c r="H60" s="73">
        <v>0</v>
      </c>
      <c r="I60" s="73">
        <v>0</v>
      </c>
      <c r="J60" s="73">
        <v>0</v>
      </c>
      <c r="K60" s="73">
        <v>0</v>
      </c>
      <c r="L60" s="73">
        <v>5860</v>
      </c>
      <c r="M60" s="73">
        <v>0</v>
      </c>
      <c r="N60" s="73">
        <v>0</v>
      </c>
      <c r="O60" s="73">
        <v>0</v>
      </c>
      <c r="P60" s="73">
        <v>0</v>
      </c>
      <c r="Q60" s="73"/>
      <c r="R60" s="73"/>
      <c r="S60" s="61"/>
      <c r="T60" s="4"/>
      <c r="U60" s="1"/>
      <c r="V60" s="1"/>
      <c r="W60" s="5"/>
      <c r="X60" s="5"/>
      <c r="Y60" s="5"/>
      <c r="Z60" s="1"/>
      <c r="AA60" s="1"/>
      <c r="AB60" s="1"/>
      <c r="AC60" s="1"/>
      <c r="AD60" s="1"/>
      <c r="AE60" s="1"/>
      <c r="AF60" s="1"/>
      <c r="AG60" s="1"/>
      <c r="AH60" s="1"/>
      <c r="AI60" s="1"/>
      <c r="AJ60" s="1"/>
      <c r="AK60" s="1"/>
      <c r="AL60" s="1"/>
      <c r="AM60" s="1"/>
      <c r="AN60" s="1"/>
      <c r="AO60" s="1"/>
      <c r="AP60" s="1"/>
      <c r="AQ60" s="1"/>
      <c r="AR60" s="1"/>
      <c r="AS60" s="1"/>
      <c r="AT60" s="1"/>
      <c r="AU60" s="1"/>
      <c r="AV60" s="1"/>
      <c r="AW60" s="1"/>
      <c r="AX60" s="1"/>
    </row>
    <row r="61" spans="1:50" ht="18" hidden="1" customHeight="1" outlineLevel="1" x14ac:dyDescent="0.3">
      <c r="A61" s="23"/>
      <c r="B61" s="64" t="s">
        <v>42</v>
      </c>
      <c r="C61" s="73">
        <v>7910</v>
      </c>
      <c r="D61" s="73">
        <v>3089</v>
      </c>
      <c r="E61" s="73">
        <v>2106</v>
      </c>
      <c r="F61" s="73">
        <v>8915</v>
      </c>
      <c r="G61" s="73">
        <v>-14062</v>
      </c>
      <c r="H61" s="73">
        <v>-2328</v>
      </c>
      <c r="I61" s="73">
        <v>-15119</v>
      </c>
      <c r="J61" s="73">
        <v>-493</v>
      </c>
      <c r="K61" s="73">
        <v>-15997</v>
      </c>
      <c r="L61" s="73">
        <v>-6137</v>
      </c>
      <c r="M61" s="73">
        <v>0</v>
      </c>
      <c r="N61" s="73">
        <v>0</v>
      </c>
      <c r="O61" s="73">
        <v>0</v>
      </c>
      <c r="P61" s="73">
        <v>0</v>
      </c>
      <c r="Q61" s="73"/>
      <c r="R61" s="73"/>
      <c r="S61" s="61"/>
      <c r="T61" s="4"/>
      <c r="U61" s="1"/>
      <c r="V61" s="1"/>
      <c r="W61" s="5"/>
      <c r="X61" s="5"/>
      <c r="Y61" s="5"/>
      <c r="Z61" s="1"/>
      <c r="AA61" s="1"/>
      <c r="AB61" s="1"/>
      <c r="AC61" s="1"/>
      <c r="AD61" s="1"/>
      <c r="AE61" s="1"/>
      <c r="AF61" s="1"/>
      <c r="AG61" s="1"/>
      <c r="AH61" s="1"/>
      <c r="AI61" s="1"/>
      <c r="AJ61" s="1"/>
      <c r="AK61" s="1"/>
      <c r="AL61" s="1"/>
      <c r="AM61" s="1"/>
      <c r="AN61" s="1"/>
      <c r="AO61" s="1"/>
      <c r="AP61" s="1"/>
      <c r="AQ61" s="1"/>
      <c r="AR61" s="1"/>
      <c r="AS61" s="1"/>
      <c r="AT61" s="1"/>
      <c r="AU61" s="1"/>
      <c r="AV61" s="1"/>
      <c r="AW61" s="1"/>
      <c r="AX61" s="1"/>
    </row>
    <row r="62" spans="1:50" ht="18" customHeight="1" collapsed="1" x14ac:dyDescent="0.3">
      <c r="A62" s="6"/>
      <c r="B62" s="52" t="s">
        <v>32</v>
      </c>
      <c r="C62" s="73">
        <f t="shared" ref="C62:L62" si="29">C15+C23</f>
        <v>-5893</v>
      </c>
      <c r="D62" s="73">
        <f t="shared" si="29"/>
        <v>317664</v>
      </c>
      <c r="E62" s="73">
        <f t="shared" si="29"/>
        <v>369100</v>
      </c>
      <c r="F62" s="73">
        <f t="shared" si="29"/>
        <v>1067219</v>
      </c>
      <c r="G62" s="73">
        <f t="shared" si="29"/>
        <v>-156646</v>
      </c>
      <c r="H62" s="73">
        <f t="shared" si="29"/>
        <v>95328</v>
      </c>
      <c r="I62" s="73">
        <f t="shared" si="29"/>
        <v>276773</v>
      </c>
      <c r="J62" s="73">
        <f t="shared" si="29"/>
        <v>386245</v>
      </c>
      <c r="K62" s="73">
        <f t="shared" si="29"/>
        <v>809244.3828685903</v>
      </c>
      <c r="L62" s="73">
        <f t="shared" si="29"/>
        <v>1044549.2775035705</v>
      </c>
      <c r="M62" s="130">
        <f>M15+M23</f>
        <v>819998.045750672</v>
      </c>
      <c r="N62" s="130">
        <f t="shared" ref="N62:P62" si="30">N15+N23</f>
        <v>878727.7305256729</v>
      </c>
      <c r="O62" s="130">
        <f t="shared" si="30"/>
        <v>940311.26112308446</v>
      </c>
      <c r="P62" s="130">
        <f t="shared" si="30"/>
        <v>1005875.8957503457</v>
      </c>
      <c r="Q62" s="73"/>
      <c r="R62" s="73"/>
      <c r="S62" s="41"/>
      <c r="T62" s="24"/>
      <c r="U62" s="4"/>
      <c r="V62" s="4"/>
      <c r="W62" s="1"/>
      <c r="X62" s="1"/>
      <c r="Y62" s="5"/>
      <c r="Z62" s="5"/>
      <c r="AA62" s="5"/>
      <c r="AB62" s="1"/>
      <c r="AC62" s="1"/>
      <c r="AD62" s="1"/>
      <c r="AE62" s="1"/>
      <c r="AF62" s="1"/>
      <c r="AG62" s="1"/>
      <c r="AH62" s="1"/>
      <c r="AI62" s="1"/>
      <c r="AJ62" s="1"/>
      <c r="AK62" s="1"/>
      <c r="AL62" s="1"/>
      <c r="AM62" s="1"/>
      <c r="AN62" s="1"/>
      <c r="AO62" s="1"/>
      <c r="AP62" s="1"/>
      <c r="AQ62" s="1"/>
      <c r="AR62" s="1"/>
      <c r="AS62" s="1"/>
      <c r="AT62" s="1"/>
      <c r="AU62" s="1"/>
      <c r="AV62" s="1"/>
      <c r="AW62" s="1"/>
      <c r="AX62" s="1"/>
    </row>
    <row r="63" spans="1:50" ht="18" hidden="1" customHeight="1" outlineLevel="1" x14ac:dyDescent="0.3">
      <c r="A63" s="7"/>
      <c r="B63" s="63" t="s">
        <v>37</v>
      </c>
      <c r="C63" s="73">
        <f>C48+C55+C44+C58+C59+C60</f>
        <v>0</v>
      </c>
      <c r="D63" s="73">
        <f t="shared" ref="D63:K63" si="31">D48+D55+D44+D58+D59+D60</f>
        <v>0</v>
      </c>
      <c r="E63" s="73">
        <f t="shared" si="31"/>
        <v>0</v>
      </c>
      <c r="F63" s="73">
        <f t="shared" si="31"/>
        <v>717165</v>
      </c>
      <c r="G63" s="73">
        <f t="shared" si="31"/>
        <v>124638</v>
      </c>
      <c r="H63" s="73">
        <f t="shared" si="31"/>
        <v>214760</v>
      </c>
      <c r="I63" s="73">
        <f t="shared" si="31"/>
        <v>193929</v>
      </c>
      <c r="J63" s="73">
        <f t="shared" si="31"/>
        <v>75220</v>
      </c>
      <c r="K63" s="73">
        <f t="shared" si="31"/>
        <v>93429</v>
      </c>
      <c r="L63" s="73">
        <v>0</v>
      </c>
      <c r="M63" s="73">
        <v>0</v>
      </c>
      <c r="N63" s="73">
        <v>0</v>
      </c>
      <c r="O63" s="73">
        <v>0</v>
      </c>
      <c r="P63" s="73">
        <v>0</v>
      </c>
      <c r="Q63" s="73"/>
      <c r="R63" s="73"/>
      <c r="S63" s="61"/>
      <c r="T63" s="7"/>
      <c r="U63" s="4"/>
      <c r="V63" s="4"/>
      <c r="W63" s="1"/>
      <c r="X63" s="1"/>
      <c r="Y63" s="5"/>
      <c r="Z63" s="5"/>
      <c r="AA63" s="5"/>
      <c r="AB63" s="1"/>
      <c r="AC63" s="1"/>
      <c r="AD63" s="1"/>
      <c r="AE63" s="1"/>
      <c r="AF63" s="1"/>
      <c r="AG63" s="1"/>
      <c r="AH63" s="1"/>
      <c r="AI63" s="1"/>
      <c r="AJ63" s="1"/>
      <c r="AK63" s="1"/>
      <c r="AL63" s="1"/>
      <c r="AM63" s="1"/>
      <c r="AN63" s="1"/>
      <c r="AO63" s="1"/>
      <c r="AP63" s="1"/>
      <c r="AQ63" s="1"/>
      <c r="AR63" s="1"/>
      <c r="AS63" s="1"/>
      <c r="AT63" s="1"/>
      <c r="AU63" s="1"/>
      <c r="AV63" s="1"/>
      <c r="AW63" s="1"/>
      <c r="AX63" s="1"/>
    </row>
    <row r="64" spans="1:50" ht="18" hidden="1" customHeight="1" outlineLevel="1" x14ac:dyDescent="0.3">
      <c r="A64" s="1"/>
      <c r="B64" s="52" t="s">
        <v>33</v>
      </c>
      <c r="C64" s="73">
        <f>C62-C63</f>
        <v>-5893</v>
      </c>
      <c r="D64" s="73">
        <f t="shared" ref="D64:J64" si="32">D62-D63</f>
        <v>317664</v>
      </c>
      <c r="E64" s="73">
        <f t="shared" si="32"/>
        <v>369100</v>
      </c>
      <c r="F64" s="73">
        <f t="shared" si="32"/>
        <v>350054</v>
      </c>
      <c r="G64" s="73">
        <f t="shared" si="32"/>
        <v>-281284</v>
      </c>
      <c r="H64" s="73">
        <f t="shared" si="32"/>
        <v>-119432</v>
      </c>
      <c r="I64" s="73">
        <f t="shared" si="32"/>
        <v>82844</v>
      </c>
      <c r="J64" s="73">
        <f t="shared" si="32"/>
        <v>311025</v>
      </c>
      <c r="K64" s="73">
        <f>K62-K63</f>
        <v>715815.3828685903</v>
      </c>
      <c r="L64" s="73">
        <f>L62-L63</f>
        <v>1044549.2775035705</v>
      </c>
      <c r="M64" s="130">
        <f t="shared" ref="M64:P64" si="33">M62-M63</f>
        <v>819998.045750672</v>
      </c>
      <c r="N64" s="130">
        <f t="shared" si="33"/>
        <v>878727.7305256729</v>
      </c>
      <c r="O64" s="130">
        <f t="shared" si="33"/>
        <v>940311.26112308446</v>
      </c>
      <c r="P64" s="130">
        <f t="shared" si="33"/>
        <v>1005875.8957503457</v>
      </c>
      <c r="Q64" s="73"/>
      <c r="R64" s="73"/>
      <c r="S64" s="61"/>
      <c r="T64" s="2"/>
      <c r="U64" s="1"/>
      <c r="V64" s="1"/>
      <c r="W64" s="1"/>
      <c r="X64" s="1"/>
      <c r="Y64" s="5"/>
      <c r="Z64" s="5"/>
      <c r="AA64" s="5"/>
      <c r="AB64" s="1"/>
      <c r="AC64" s="1"/>
      <c r="AD64" s="1"/>
      <c r="AE64" s="1"/>
      <c r="AF64" s="1"/>
      <c r="AG64" s="1"/>
      <c r="AH64" s="1"/>
      <c r="AI64" s="1"/>
      <c r="AJ64" s="1"/>
      <c r="AK64" s="1"/>
      <c r="AL64" s="1"/>
      <c r="AM64" s="1"/>
      <c r="AN64" s="1"/>
      <c r="AO64" s="1"/>
      <c r="AP64" s="1"/>
      <c r="AQ64" s="1"/>
      <c r="AR64" s="1"/>
      <c r="AS64" s="1"/>
      <c r="AT64" s="1"/>
      <c r="AU64" s="1"/>
      <c r="AV64" s="1"/>
      <c r="AW64" s="1"/>
      <c r="AX64" s="1"/>
    </row>
    <row r="65" spans="1:50" ht="18" hidden="1" customHeight="1" outlineLevel="1" x14ac:dyDescent="0.3">
      <c r="A65" s="1"/>
      <c r="B65" s="52" t="s">
        <v>539</v>
      </c>
      <c r="C65" s="76" cm="1">
        <f t="array" ref="C65:J65">EBIT/RECEITA_LIQUIDA</f>
        <v>-1.2326662195907123E-3</v>
      </c>
      <c r="D65" s="76">
        <v>6.3083519176425504E-2</v>
      </c>
      <c r="E65" s="76">
        <v>7.1821718685360941E-2</v>
      </c>
      <c r="F65" s="76">
        <v>0.20192678467972128</v>
      </c>
      <c r="G65" s="107">
        <v>-3.8342072399709604E-2</v>
      </c>
      <c r="H65" s="107">
        <v>1.8498775325496399E-2</v>
      </c>
      <c r="I65" s="107">
        <v>4.4759556442568356E-2</v>
      </c>
      <c r="J65" s="107">
        <v>5.7482776895330281E-2</v>
      </c>
      <c r="K65" s="107">
        <f>K62/K10</f>
        <v>0.10546077059296345</v>
      </c>
      <c r="L65" s="107">
        <f>L62/L10</f>
        <v>0.1308474639033082</v>
      </c>
      <c r="M65" s="107">
        <f t="shared" ref="M65:P65" si="34">M62/M10</f>
        <v>0.10112132485714168</v>
      </c>
      <c r="N65" s="107">
        <f t="shared" si="34"/>
        <v>0.10181694129778672</v>
      </c>
      <c r="O65" s="107">
        <f t="shared" si="34"/>
        <v>0.10214799598244781</v>
      </c>
      <c r="P65" s="107">
        <f t="shared" si="34"/>
        <v>0.10241426626567572</v>
      </c>
      <c r="Q65" s="76"/>
      <c r="R65" s="76"/>
      <c r="S65" s="61"/>
      <c r="T65" s="2"/>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row>
    <row r="66" spans="1:50" ht="18" hidden="1" customHeight="1" outlineLevel="1" x14ac:dyDescent="0.3">
      <c r="A66" s="1"/>
      <c r="B66" s="52" t="s">
        <v>540</v>
      </c>
      <c r="C66" s="76" cm="1">
        <f t="array" ref="C66:J66">EBIT_RECORRENTE/RECEITA_LIQUIDA</f>
        <v>-1.2326662195907123E-3</v>
      </c>
      <c r="D66" s="76">
        <v>6.3083519176425504E-2</v>
      </c>
      <c r="E66" s="76">
        <v>7.1821718685360941E-2</v>
      </c>
      <c r="F66" s="76">
        <v>6.6233152412274482E-2</v>
      </c>
      <c r="G66" s="76">
        <v>-6.8849581175899274E-2</v>
      </c>
      <c r="H66" s="76">
        <v>-2.3176251832354462E-2</v>
      </c>
      <c r="I66" s="76">
        <v>1.3397479862299187E-2</v>
      </c>
      <c r="J66" s="76">
        <v>4.6288186730883508E-2</v>
      </c>
      <c r="K66" s="107">
        <f>K64/K10</f>
        <v>9.3285098392678331E-2</v>
      </c>
      <c r="L66" s="76">
        <f>L64/L10</f>
        <v>0.1308474639033082</v>
      </c>
      <c r="M66" s="76"/>
      <c r="N66" s="76"/>
      <c r="O66" s="76"/>
      <c r="P66" s="76"/>
      <c r="Q66" s="76"/>
      <c r="R66" s="76"/>
      <c r="S66" s="61"/>
      <c r="T66" s="2"/>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spans="1:50" ht="18" customHeight="1" collapsed="1" x14ac:dyDescent="0.3">
      <c r="A67" s="2"/>
      <c r="B67" s="52" t="s">
        <v>34</v>
      </c>
      <c r="C67" s="73">
        <f t="shared" ref="C67:L67" si="35">SUM(C68,C80)</f>
        <v>-197360</v>
      </c>
      <c r="D67" s="73">
        <f t="shared" si="35"/>
        <v>-155153</v>
      </c>
      <c r="E67" s="73">
        <f>SUM(E68,E80)</f>
        <v>-130671</v>
      </c>
      <c r="F67" s="73">
        <f t="shared" si="35"/>
        <v>391752</v>
      </c>
      <c r="G67" s="73">
        <f t="shared" si="35"/>
        <v>-79735</v>
      </c>
      <c r="H67" s="73">
        <f t="shared" si="35"/>
        <v>-91116</v>
      </c>
      <c r="I67" s="73">
        <f>SUM(I68,I80)</f>
        <v>-311459</v>
      </c>
      <c r="J67" s="73">
        <f t="shared" si="35"/>
        <v>-428683</v>
      </c>
      <c r="K67" s="73">
        <f t="shared" si="35"/>
        <v>-296326</v>
      </c>
      <c r="L67" s="73">
        <f t="shared" si="35"/>
        <v>-317568</v>
      </c>
      <c r="M67" s="73">
        <v>0</v>
      </c>
      <c r="N67" s="73">
        <v>0</v>
      </c>
      <c r="O67" s="73">
        <v>0</v>
      </c>
      <c r="P67" s="73">
        <v>0</v>
      </c>
      <c r="Q67" s="73"/>
      <c r="R67" s="73"/>
      <c r="S67" s="61"/>
      <c r="T67" s="2"/>
      <c r="U67" s="1"/>
      <c r="V67" s="1"/>
      <c r="W67" s="44"/>
      <c r="X67" s="1"/>
      <c r="Y67" s="1"/>
      <c r="Z67" s="79"/>
      <c r="AA67" s="1"/>
      <c r="AB67" s="1"/>
      <c r="AC67" s="1"/>
      <c r="AD67" s="1"/>
      <c r="AE67" s="1"/>
      <c r="AF67" s="1"/>
      <c r="AG67" s="1"/>
      <c r="AH67" s="1"/>
      <c r="AI67" s="1"/>
      <c r="AJ67" s="1"/>
      <c r="AK67" s="1"/>
      <c r="AL67" s="1"/>
      <c r="AM67" s="1"/>
      <c r="AN67" s="1"/>
      <c r="AO67" s="1"/>
      <c r="AP67" s="1"/>
      <c r="AQ67" s="1"/>
      <c r="AR67" s="1"/>
      <c r="AS67" s="1"/>
      <c r="AT67" s="1"/>
      <c r="AU67" s="1"/>
      <c r="AV67" s="1"/>
      <c r="AW67" s="1"/>
      <c r="AX67" s="1"/>
    </row>
    <row r="68" spans="1:50" ht="18" customHeight="1" x14ac:dyDescent="0.3">
      <c r="A68" s="2"/>
      <c r="B68" s="63" t="s">
        <v>35</v>
      </c>
      <c r="C68" s="73">
        <f>SUM(C69:C79)</f>
        <v>514398</v>
      </c>
      <c r="D68" s="73">
        <f t="shared" ref="D68:J68" si="36">SUM(D69:D79)</f>
        <v>168253</v>
      </c>
      <c r="E68" s="73">
        <f t="shared" si="36"/>
        <v>186189</v>
      </c>
      <c r="F68" s="73">
        <f t="shared" si="36"/>
        <v>641271</v>
      </c>
      <c r="G68" s="73">
        <f t="shared" si="36"/>
        <v>134345</v>
      </c>
      <c r="H68" s="73">
        <f t="shared" si="36"/>
        <v>176189</v>
      </c>
      <c r="I68" s="73">
        <f t="shared" si="36"/>
        <v>289880</v>
      </c>
      <c r="J68" s="73">
        <f t="shared" si="36"/>
        <v>207793</v>
      </c>
      <c r="K68" s="73">
        <f>SUM(K69:K79)</f>
        <v>271999</v>
      </c>
      <c r="L68" s="73">
        <f>SUM(L69:L79)</f>
        <v>256275</v>
      </c>
      <c r="M68" s="73">
        <v>0</v>
      </c>
      <c r="N68" s="73">
        <v>0</v>
      </c>
      <c r="O68" s="73">
        <v>0</v>
      </c>
      <c r="P68" s="73">
        <v>0</v>
      </c>
      <c r="Q68" s="73"/>
      <c r="R68" s="73"/>
      <c r="S68" s="61"/>
      <c r="T68" s="2"/>
      <c r="U68" s="1"/>
      <c r="V68" s="1"/>
      <c r="W68" s="1"/>
      <c r="X68" s="1"/>
      <c r="Y68" s="1"/>
      <c r="Z68" s="44"/>
      <c r="AA68" s="44"/>
      <c r="AB68" s="1"/>
      <c r="AC68" s="1"/>
      <c r="AD68" s="1"/>
      <c r="AE68" s="1"/>
      <c r="AF68" s="1"/>
      <c r="AG68" s="1"/>
      <c r="AH68" s="1"/>
      <c r="AI68" s="1"/>
      <c r="AJ68" s="1"/>
      <c r="AK68" s="1"/>
      <c r="AL68" s="1"/>
      <c r="AM68" s="1"/>
      <c r="AN68" s="1"/>
      <c r="AO68" s="1"/>
      <c r="AP68" s="1"/>
      <c r="AQ68" s="1"/>
      <c r="AR68" s="1"/>
      <c r="AS68" s="1"/>
      <c r="AT68" s="1"/>
      <c r="AU68" s="1"/>
      <c r="AV68" s="1"/>
      <c r="AW68" s="1"/>
      <c r="AX68" s="1"/>
    </row>
    <row r="69" spans="1:50" ht="18" hidden="1" customHeight="1" outlineLevel="1" x14ac:dyDescent="0.3">
      <c r="A69" s="2"/>
      <c r="B69" s="64" t="s">
        <v>172</v>
      </c>
      <c r="C69" s="73">
        <v>42864</v>
      </c>
      <c r="D69" s="73">
        <v>7606</v>
      </c>
      <c r="E69" s="73">
        <v>14339</v>
      </c>
      <c r="F69" s="73">
        <v>19443</v>
      </c>
      <c r="G69" s="73">
        <v>24418</v>
      </c>
      <c r="H69" s="73">
        <v>126381</v>
      </c>
      <c r="I69" s="73">
        <v>168642</v>
      </c>
      <c r="J69" s="73">
        <v>82023</v>
      </c>
      <c r="K69" s="73">
        <v>84428</v>
      </c>
      <c r="L69" s="114">
        <v>123614</v>
      </c>
      <c r="M69" s="73">
        <v>0</v>
      </c>
      <c r="N69" s="73">
        <v>0</v>
      </c>
      <c r="O69" s="73">
        <v>0</v>
      </c>
      <c r="P69" s="73">
        <v>0</v>
      </c>
      <c r="Q69" s="73"/>
      <c r="R69" s="73"/>
      <c r="S69" s="61"/>
      <c r="T69" s="2"/>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row>
    <row r="70" spans="1:50" ht="18" hidden="1" customHeight="1" outlineLevel="1" x14ac:dyDescent="0.3">
      <c r="A70" s="2"/>
      <c r="B70" s="64" t="s">
        <v>173</v>
      </c>
      <c r="C70" s="73">
        <v>0</v>
      </c>
      <c r="D70" s="73">
        <v>0</v>
      </c>
      <c r="E70" s="73">
        <v>0</v>
      </c>
      <c r="F70" s="73">
        <v>0</v>
      </c>
      <c r="G70" s="73">
        <v>0</v>
      </c>
      <c r="H70" s="73">
        <v>37368</v>
      </c>
      <c r="I70" s="73">
        <v>111662</v>
      </c>
      <c r="J70" s="73">
        <v>104992</v>
      </c>
      <c r="K70" s="73">
        <v>0</v>
      </c>
      <c r="L70" s="114">
        <v>86275</v>
      </c>
      <c r="M70" s="73">
        <v>0</v>
      </c>
      <c r="N70" s="73">
        <v>0</v>
      </c>
      <c r="O70" s="73">
        <v>0</v>
      </c>
      <c r="P70" s="73">
        <v>0</v>
      </c>
      <c r="Q70" s="73"/>
      <c r="R70" s="73"/>
      <c r="S70" s="61"/>
      <c r="T70" s="2"/>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row>
    <row r="71" spans="1:50" ht="18" hidden="1" customHeight="1" outlineLevel="1" x14ac:dyDescent="0.3">
      <c r="A71" s="2"/>
      <c r="B71" s="64" t="s">
        <v>174</v>
      </c>
      <c r="C71" s="73">
        <v>0</v>
      </c>
      <c r="D71" s="73">
        <v>0</v>
      </c>
      <c r="E71" s="73">
        <v>0</v>
      </c>
      <c r="F71" s="73">
        <v>618492</v>
      </c>
      <c r="G71" s="73">
        <v>17683</v>
      </c>
      <c r="H71" s="73">
        <v>0</v>
      </c>
      <c r="I71" s="73">
        <v>0</v>
      </c>
      <c r="J71" s="73">
        <v>0</v>
      </c>
      <c r="K71" s="73">
        <v>164177</v>
      </c>
      <c r="L71" s="114">
        <v>0</v>
      </c>
      <c r="M71" s="73">
        <v>0</v>
      </c>
      <c r="N71" s="73">
        <v>0</v>
      </c>
      <c r="O71" s="73">
        <v>0</v>
      </c>
      <c r="P71" s="73">
        <v>0</v>
      </c>
      <c r="Q71" s="73"/>
      <c r="R71" s="73"/>
      <c r="S71" s="61"/>
      <c r="T71" s="2"/>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row>
    <row r="72" spans="1:50" ht="18" hidden="1" customHeight="1" outlineLevel="1" x14ac:dyDescent="0.3">
      <c r="A72" s="2"/>
      <c r="B72" s="64" t="s">
        <v>175</v>
      </c>
      <c r="C72" s="73">
        <v>0</v>
      </c>
      <c r="D72" s="73">
        <v>0</v>
      </c>
      <c r="E72" s="73">
        <v>0</v>
      </c>
      <c r="F72" s="73">
        <v>0</v>
      </c>
      <c r="G72" s="73">
        <v>40642</v>
      </c>
      <c r="H72" s="73">
        <v>0</v>
      </c>
      <c r="I72" s="73">
        <v>0</v>
      </c>
      <c r="J72" s="73">
        <v>0</v>
      </c>
      <c r="K72" s="73">
        <v>0</v>
      </c>
      <c r="L72" s="114">
        <v>0</v>
      </c>
      <c r="M72" s="73">
        <v>0</v>
      </c>
      <c r="N72" s="73">
        <v>0</v>
      </c>
      <c r="O72" s="73">
        <v>0</v>
      </c>
      <c r="P72" s="73">
        <v>0</v>
      </c>
      <c r="Q72" s="73"/>
      <c r="R72" s="73"/>
      <c r="S72" s="61"/>
      <c r="T72" s="2"/>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row>
    <row r="73" spans="1:50" ht="18" hidden="1" customHeight="1" outlineLevel="1" x14ac:dyDescent="0.3">
      <c r="A73" s="2"/>
      <c r="B73" s="64" t="s">
        <v>176</v>
      </c>
      <c r="C73" s="73">
        <v>0</v>
      </c>
      <c r="D73" s="73">
        <v>0</v>
      </c>
      <c r="E73" s="73">
        <v>0</v>
      </c>
      <c r="F73" s="73">
        <v>-28760</v>
      </c>
      <c r="G73" s="73">
        <v>0</v>
      </c>
      <c r="H73" s="73">
        <v>0</v>
      </c>
      <c r="I73" s="73">
        <v>0</v>
      </c>
      <c r="J73" s="73">
        <v>0</v>
      </c>
      <c r="K73" s="73">
        <v>0</v>
      </c>
      <c r="L73" s="114">
        <v>0</v>
      </c>
      <c r="M73" s="73">
        <v>0</v>
      </c>
      <c r="N73" s="73">
        <v>0</v>
      </c>
      <c r="O73" s="73">
        <v>0</v>
      </c>
      <c r="P73" s="73">
        <v>0</v>
      </c>
      <c r="Q73" s="73"/>
      <c r="R73" s="73"/>
      <c r="S73" s="61"/>
      <c r="T73" s="2"/>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row>
    <row r="74" spans="1:50" ht="18" hidden="1" customHeight="1" outlineLevel="1" x14ac:dyDescent="0.3">
      <c r="A74" s="2"/>
      <c r="B74" s="64" t="s">
        <v>177</v>
      </c>
      <c r="C74" s="73">
        <v>0</v>
      </c>
      <c r="D74" s="73">
        <v>0</v>
      </c>
      <c r="E74" s="73">
        <v>0</v>
      </c>
      <c r="F74" s="73">
        <v>0</v>
      </c>
      <c r="G74" s="73">
        <v>33539</v>
      </c>
      <c r="H74" s="73">
        <v>0</v>
      </c>
      <c r="I74" s="73">
        <v>0</v>
      </c>
      <c r="J74" s="73">
        <v>0</v>
      </c>
      <c r="K74" s="73">
        <v>0</v>
      </c>
      <c r="L74" s="114">
        <v>0</v>
      </c>
      <c r="M74" s="73">
        <v>0</v>
      </c>
      <c r="N74" s="73">
        <v>0</v>
      </c>
      <c r="O74" s="73">
        <v>0</v>
      </c>
      <c r="P74" s="73">
        <v>0</v>
      </c>
      <c r="Q74" s="73"/>
      <c r="R74" s="73"/>
      <c r="S74" s="61"/>
      <c r="T74" s="2"/>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row>
    <row r="75" spans="1:50" ht="18" hidden="1" customHeight="1" outlineLevel="1" x14ac:dyDescent="0.3">
      <c r="A75" s="2"/>
      <c r="B75" s="64" t="s">
        <v>178</v>
      </c>
      <c r="C75" s="73">
        <v>10787</v>
      </c>
      <c r="D75" s="73">
        <v>21662</v>
      </c>
      <c r="E75" s="73">
        <v>24432</v>
      </c>
      <c r="F75" s="73">
        <v>31730</v>
      </c>
      <c r="G75" s="73">
        <v>16969</v>
      </c>
      <c r="H75" s="73">
        <v>12438</v>
      </c>
      <c r="I75" s="73">
        <v>9248</v>
      </c>
      <c r="J75" s="73">
        <v>11687</v>
      </c>
      <c r="K75" s="73">
        <v>14958</v>
      </c>
      <c r="L75" s="114">
        <v>9277</v>
      </c>
      <c r="M75" s="73">
        <v>0</v>
      </c>
      <c r="N75" s="73">
        <v>0</v>
      </c>
      <c r="O75" s="73">
        <v>0</v>
      </c>
      <c r="P75" s="73">
        <v>0</v>
      </c>
      <c r="Q75" s="73"/>
      <c r="R75" s="73"/>
      <c r="S75" s="61"/>
      <c r="T75" s="2"/>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row>
    <row r="76" spans="1:50" ht="18" hidden="1" customHeight="1" outlineLevel="1" x14ac:dyDescent="0.3">
      <c r="A76" s="2"/>
      <c r="B76" s="64" t="s">
        <v>168</v>
      </c>
      <c r="C76" s="73">
        <v>0</v>
      </c>
      <c r="D76" s="73">
        <v>0</v>
      </c>
      <c r="E76" s="73">
        <v>17192</v>
      </c>
      <c r="F76" s="73">
        <v>0</v>
      </c>
      <c r="G76" s="73">
        <v>0</v>
      </c>
      <c r="H76" s="73">
        <v>0</v>
      </c>
      <c r="I76" s="73">
        <v>0</v>
      </c>
      <c r="J76" s="73">
        <v>0</v>
      </c>
      <c r="K76" s="73">
        <v>0</v>
      </c>
      <c r="L76" s="114">
        <v>0</v>
      </c>
      <c r="M76" s="73">
        <v>0</v>
      </c>
      <c r="N76" s="73">
        <v>0</v>
      </c>
      <c r="O76" s="73">
        <v>0</v>
      </c>
      <c r="P76" s="73">
        <v>0</v>
      </c>
      <c r="Q76" s="73"/>
      <c r="R76" s="73"/>
      <c r="S76" s="61"/>
      <c r="T76" s="2"/>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spans="1:50" ht="18" hidden="1" customHeight="1" outlineLevel="1" x14ac:dyDescent="0.3">
      <c r="A77" s="2"/>
      <c r="B77" s="64" t="s">
        <v>169</v>
      </c>
      <c r="C77" s="73">
        <v>448140</v>
      </c>
      <c r="D77" s="73">
        <v>115825</v>
      </c>
      <c r="E77" s="73">
        <v>122994</v>
      </c>
      <c r="F77" s="73">
        <v>0</v>
      </c>
      <c r="G77" s="73">
        <v>0</v>
      </c>
      <c r="H77" s="73">
        <v>0</v>
      </c>
      <c r="I77" s="73">
        <v>324</v>
      </c>
      <c r="J77" s="73">
        <v>1980</v>
      </c>
      <c r="K77" s="73">
        <v>0</v>
      </c>
      <c r="L77" s="114">
        <v>0</v>
      </c>
      <c r="M77" s="73">
        <v>0</v>
      </c>
      <c r="N77" s="73">
        <v>0</v>
      </c>
      <c r="O77" s="73">
        <v>0</v>
      </c>
      <c r="P77" s="73">
        <v>0</v>
      </c>
      <c r="Q77" s="73"/>
      <c r="R77" s="73"/>
      <c r="S77" s="61"/>
      <c r="T77" s="2"/>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row>
    <row r="78" spans="1:50" ht="18" hidden="1" customHeight="1" outlineLevel="1" x14ac:dyDescent="0.3">
      <c r="A78" s="2"/>
      <c r="B78" s="64" t="s">
        <v>42</v>
      </c>
      <c r="C78" s="73">
        <v>12607</v>
      </c>
      <c r="D78" s="73">
        <v>23160</v>
      </c>
      <c r="E78" s="73">
        <v>7232</v>
      </c>
      <c r="F78" s="73">
        <v>366</v>
      </c>
      <c r="G78" s="73">
        <v>1094</v>
      </c>
      <c r="H78" s="73">
        <v>2</v>
      </c>
      <c r="I78" s="73">
        <v>4</v>
      </c>
      <c r="J78" s="73">
        <v>43</v>
      </c>
      <c r="K78" s="73">
        <v>4</v>
      </c>
      <c r="L78" s="114">
        <v>0</v>
      </c>
      <c r="M78" s="73">
        <v>0</v>
      </c>
      <c r="N78" s="73">
        <v>0</v>
      </c>
      <c r="O78" s="73">
        <v>0</v>
      </c>
      <c r="P78" s="73">
        <v>0</v>
      </c>
      <c r="Q78" s="73"/>
      <c r="R78" s="73"/>
      <c r="S78" s="61"/>
      <c r="T78" s="2"/>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spans="1:50" ht="18" hidden="1" customHeight="1" outlineLevel="1" x14ac:dyDescent="0.3">
      <c r="A79" s="2"/>
      <c r="B79" s="64" t="s">
        <v>179</v>
      </c>
      <c r="C79" s="73">
        <v>0</v>
      </c>
      <c r="D79" s="73">
        <v>0</v>
      </c>
      <c r="E79" s="73">
        <v>0</v>
      </c>
      <c r="F79" s="73">
        <v>0</v>
      </c>
      <c r="G79" s="73">
        <v>0</v>
      </c>
      <c r="H79" s="73">
        <v>0</v>
      </c>
      <c r="I79" s="73">
        <v>0</v>
      </c>
      <c r="J79" s="73">
        <v>7068</v>
      </c>
      <c r="K79" s="73">
        <v>8432</v>
      </c>
      <c r="L79" s="114">
        <v>37109</v>
      </c>
      <c r="M79" s="73">
        <v>0</v>
      </c>
      <c r="N79" s="73">
        <v>0</v>
      </c>
      <c r="O79" s="73">
        <v>0</v>
      </c>
      <c r="P79" s="73">
        <v>0</v>
      </c>
      <c r="Q79" s="73"/>
      <c r="R79" s="73"/>
      <c r="S79" s="61"/>
      <c r="T79" s="2"/>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spans="1:50" ht="18" customHeight="1" collapsed="1" x14ac:dyDescent="0.3">
      <c r="A80" s="2"/>
      <c r="B80" s="63" t="s">
        <v>36</v>
      </c>
      <c r="C80" s="73">
        <f t="shared" ref="C80:L80" si="37">SUM(C81:C89,C92)</f>
        <v>-711758</v>
      </c>
      <c r="D80" s="73">
        <f t="shared" si="37"/>
        <v>-323406</v>
      </c>
      <c r="E80" s="73">
        <f t="shared" si="37"/>
        <v>-316860</v>
      </c>
      <c r="F80" s="73">
        <f t="shared" si="37"/>
        <v>-249519</v>
      </c>
      <c r="G80" s="73">
        <f t="shared" si="37"/>
        <v>-214080</v>
      </c>
      <c r="H80" s="73">
        <f t="shared" si="37"/>
        <v>-267305</v>
      </c>
      <c r="I80" s="73">
        <f t="shared" si="37"/>
        <v>-601339</v>
      </c>
      <c r="J80" s="73">
        <f t="shared" si="37"/>
        <v>-636476</v>
      </c>
      <c r="K80" s="73">
        <f t="shared" si="37"/>
        <v>-568325</v>
      </c>
      <c r="L80" s="73">
        <f t="shared" si="37"/>
        <v>-573843</v>
      </c>
      <c r="M80" s="73">
        <v>0</v>
      </c>
      <c r="N80" s="73">
        <v>0</v>
      </c>
      <c r="O80" s="73">
        <v>0</v>
      </c>
      <c r="P80" s="73">
        <v>0</v>
      </c>
      <c r="Q80" s="73"/>
      <c r="R80" s="73"/>
      <c r="S80" s="61"/>
      <c r="T80" s="2"/>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spans="1:50" ht="18" hidden="1" customHeight="1" outlineLevel="1" x14ac:dyDescent="0.3">
      <c r="A81" s="2"/>
      <c r="B81" s="64" t="s">
        <v>161</v>
      </c>
      <c r="C81" s="73">
        <v>-96056</v>
      </c>
      <c r="D81" s="73">
        <v>-69318</v>
      </c>
      <c r="E81" s="73">
        <v>-41170</v>
      </c>
      <c r="F81" s="73">
        <v>-60749</v>
      </c>
      <c r="G81" s="73">
        <v>0</v>
      </c>
      <c r="H81" s="73">
        <v>0</v>
      </c>
      <c r="I81" s="73">
        <v>0</v>
      </c>
      <c r="J81" s="73">
        <v>0</v>
      </c>
      <c r="K81" s="73">
        <v>0</v>
      </c>
      <c r="L81" s="73">
        <v>0</v>
      </c>
      <c r="M81" s="73">
        <v>0</v>
      </c>
      <c r="N81" s="73">
        <v>0</v>
      </c>
      <c r="O81" s="73">
        <v>0</v>
      </c>
      <c r="P81" s="73">
        <v>0</v>
      </c>
      <c r="Q81" s="73"/>
      <c r="R81" s="73"/>
      <c r="S81" s="61"/>
      <c r="T81" s="2"/>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spans="1:50" ht="18" hidden="1" customHeight="1" outlineLevel="1" x14ac:dyDescent="0.3">
      <c r="A82" s="2"/>
      <c r="B82" s="64" t="s">
        <v>162</v>
      </c>
      <c r="C82" s="73">
        <v>0</v>
      </c>
      <c r="D82" s="73">
        <v>0</v>
      </c>
      <c r="E82" s="73">
        <v>0</v>
      </c>
      <c r="F82" s="73">
        <v>0</v>
      </c>
      <c r="G82" s="73">
        <v>-35805</v>
      </c>
      <c r="H82" s="73">
        <v>-81458</v>
      </c>
      <c r="I82" s="73">
        <v>-272366</v>
      </c>
      <c r="J82" s="73">
        <v>-255421</v>
      </c>
      <c r="K82" s="73">
        <v>-187753</v>
      </c>
      <c r="L82" s="73">
        <v>-190295</v>
      </c>
      <c r="M82" s="73">
        <v>0</v>
      </c>
      <c r="N82" s="73">
        <v>0</v>
      </c>
      <c r="O82" s="73">
        <v>0</v>
      </c>
      <c r="P82" s="73">
        <v>0</v>
      </c>
      <c r="Q82" s="73"/>
      <c r="R82" s="73"/>
      <c r="S82" s="61"/>
      <c r="T82" s="2"/>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spans="1:50" ht="18" hidden="1" customHeight="1" outlineLevel="1" x14ac:dyDescent="0.3">
      <c r="A83" s="2"/>
      <c r="B83" s="64" t="s">
        <v>163</v>
      </c>
      <c r="C83" s="73">
        <v>0</v>
      </c>
      <c r="D83" s="73">
        <v>0</v>
      </c>
      <c r="E83" s="73">
        <v>0</v>
      </c>
      <c r="F83" s="73">
        <v>0</v>
      </c>
      <c r="G83" s="73">
        <v>0</v>
      </c>
      <c r="H83" s="73">
        <v>0</v>
      </c>
      <c r="I83" s="73">
        <v>-54328</v>
      </c>
      <c r="J83" s="73">
        <v>-70570</v>
      </c>
      <c r="K83" s="73">
        <v>-69160</v>
      </c>
      <c r="L83" s="114">
        <v>-42119</v>
      </c>
      <c r="M83" s="73">
        <v>0</v>
      </c>
      <c r="N83" s="73">
        <v>0</v>
      </c>
      <c r="O83" s="73">
        <v>0</v>
      </c>
      <c r="P83" s="73">
        <v>0</v>
      </c>
      <c r="Q83" s="73"/>
      <c r="R83" s="73"/>
      <c r="S83" s="61"/>
      <c r="T83" s="2"/>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spans="1:50" ht="18" hidden="1" customHeight="1" outlineLevel="1" x14ac:dyDescent="0.3">
      <c r="A84" s="2"/>
      <c r="B84" s="64" t="s">
        <v>164</v>
      </c>
      <c r="C84" s="73">
        <v>-5934</v>
      </c>
      <c r="D84" s="73">
        <v>-5204</v>
      </c>
      <c r="E84" s="73">
        <v>-3298</v>
      </c>
      <c r="F84" s="73">
        <v>-4156</v>
      </c>
      <c r="G84" s="73">
        <v>-1845</v>
      </c>
      <c r="H84" s="73">
        <v>-2816</v>
      </c>
      <c r="I84" s="73">
        <v>-2334</v>
      </c>
      <c r="J84" s="73">
        <v>-4110</v>
      </c>
      <c r="K84" s="73">
        <v>0</v>
      </c>
      <c r="L84" s="114">
        <v>0</v>
      </c>
      <c r="M84" s="73">
        <v>0</v>
      </c>
      <c r="N84" s="73">
        <v>0</v>
      </c>
      <c r="O84" s="73">
        <v>0</v>
      </c>
      <c r="P84" s="73">
        <v>0</v>
      </c>
      <c r="Q84" s="73"/>
      <c r="R84" s="73"/>
      <c r="S84" s="61"/>
      <c r="T84" s="2"/>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spans="1:50" ht="18" hidden="1" customHeight="1" outlineLevel="1" x14ac:dyDescent="0.3">
      <c r="A85" s="2"/>
      <c r="B85" s="64" t="s">
        <v>165</v>
      </c>
      <c r="C85" s="73">
        <v>-37803</v>
      </c>
      <c r="D85" s="73">
        <v>-35466</v>
      </c>
      <c r="E85" s="73">
        <v>-27803</v>
      </c>
      <c r="F85" s="73">
        <v>-28218</v>
      </c>
      <c r="G85" s="73">
        <v>-27162</v>
      </c>
      <c r="H85" s="73">
        <v>-14462</v>
      </c>
      <c r="I85" s="73">
        <v>-21747</v>
      </c>
      <c r="J85" s="73">
        <v>-22164</v>
      </c>
      <c r="K85" s="73">
        <v>-21657</v>
      </c>
      <c r="L85" s="114">
        <v>-24965</v>
      </c>
      <c r="M85" s="73">
        <v>0</v>
      </c>
      <c r="N85" s="73">
        <v>0</v>
      </c>
      <c r="O85" s="73">
        <v>0</v>
      </c>
      <c r="P85" s="73">
        <v>0</v>
      </c>
      <c r="Q85" s="73"/>
      <c r="R85" s="73"/>
      <c r="S85" s="61"/>
      <c r="T85" s="2"/>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spans="1:50" ht="18" hidden="1" customHeight="1" outlineLevel="1" x14ac:dyDescent="0.3">
      <c r="A86" s="2"/>
      <c r="B86" s="64" t="s">
        <v>166</v>
      </c>
      <c r="C86" s="73">
        <v>0</v>
      </c>
      <c r="D86" s="73">
        <v>0</v>
      </c>
      <c r="E86" s="73">
        <v>0</v>
      </c>
      <c r="F86" s="73">
        <v>-137478</v>
      </c>
      <c r="G86" s="73">
        <v>-131790</v>
      </c>
      <c r="H86" s="73">
        <v>-135412</v>
      </c>
      <c r="I86" s="73">
        <v>-156537</v>
      </c>
      <c r="J86" s="73">
        <v>-160119</v>
      </c>
      <c r="K86" s="73">
        <v>-170913</v>
      </c>
      <c r="L86" s="114">
        <v>-175806</v>
      </c>
      <c r="M86" s="73">
        <v>0</v>
      </c>
      <c r="N86" s="73">
        <v>0</v>
      </c>
      <c r="O86" s="73">
        <v>0</v>
      </c>
      <c r="P86" s="73">
        <v>0</v>
      </c>
      <c r="Q86" s="73"/>
      <c r="R86" s="73"/>
      <c r="S86" s="61"/>
      <c r="T86" s="2"/>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spans="1:50" ht="18" hidden="1" customHeight="1" outlineLevel="1" x14ac:dyDescent="0.3">
      <c r="A87" s="2"/>
      <c r="B87" s="64" t="s">
        <v>167</v>
      </c>
      <c r="C87" s="73">
        <v>-40795</v>
      </c>
      <c r="D87" s="73">
        <v>-38859</v>
      </c>
      <c r="E87" s="73">
        <v>-23132</v>
      </c>
      <c r="F87" s="73">
        <v>-24983</v>
      </c>
      <c r="G87" s="73">
        <v>-15377</v>
      </c>
      <c r="H87" s="73">
        <v>-28604</v>
      </c>
      <c r="I87" s="73">
        <v>-88611</v>
      </c>
      <c r="J87" s="73">
        <v>-116293</v>
      </c>
      <c r="K87" s="73">
        <v>-95928</v>
      </c>
      <c r="L87" s="114">
        <v>-120637</v>
      </c>
      <c r="M87" s="73">
        <v>0</v>
      </c>
      <c r="N87" s="73">
        <v>0</v>
      </c>
      <c r="O87" s="73">
        <v>0</v>
      </c>
      <c r="P87" s="73">
        <v>0</v>
      </c>
      <c r="Q87" s="73"/>
      <c r="R87" s="73"/>
      <c r="S87" s="61"/>
      <c r="T87" s="2"/>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spans="1:50" ht="18" hidden="1" customHeight="1" outlineLevel="1" x14ac:dyDescent="0.3">
      <c r="A88" s="2"/>
      <c r="B88" s="64" t="s">
        <v>168</v>
      </c>
      <c r="C88" s="73">
        <v>-304257</v>
      </c>
      <c r="D88" s="73">
        <v>-30206</v>
      </c>
      <c r="E88" s="73">
        <v>0</v>
      </c>
      <c r="F88" s="73">
        <v>-26054</v>
      </c>
      <c r="G88" s="73">
        <v>0</v>
      </c>
      <c r="H88" s="73">
        <v>0</v>
      </c>
      <c r="I88" s="73">
        <v>0</v>
      </c>
      <c r="J88" s="73">
        <v>0</v>
      </c>
      <c r="K88" s="73">
        <v>0</v>
      </c>
      <c r="L88" s="114">
        <v>0</v>
      </c>
      <c r="M88" s="73">
        <v>0</v>
      </c>
      <c r="N88" s="73">
        <v>0</v>
      </c>
      <c r="O88" s="73">
        <v>0</v>
      </c>
      <c r="P88" s="73">
        <v>0</v>
      </c>
      <c r="Q88" s="73"/>
      <c r="R88" s="73"/>
      <c r="S88" s="61"/>
      <c r="T88" s="2"/>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spans="1:50" ht="18" hidden="1" customHeight="1" outlineLevel="1" x14ac:dyDescent="0.3">
      <c r="A89" s="2"/>
      <c r="B89" s="64" t="s">
        <v>169</v>
      </c>
      <c r="C89" s="73">
        <v>-226702</v>
      </c>
      <c r="D89" s="73">
        <v>-144204</v>
      </c>
      <c r="E89" s="73">
        <v>-221443</v>
      </c>
      <c r="F89" s="73">
        <f>SUM(F90:F90)</f>
        <v>32372</v>
      </c>
      <c r="G89" s="73">
        <f>SUM(G90:G90)</f>
        <v>0</v>
      </c>
      <c r="H89" s="73">
        <f>SUM(H90:H90)</f>
        <v>0</v>
      </c>
      <c r="I89" s="73">
        <f>SUM(I90:I90)</f>
        <v>0</v>
      </c>
      <c r="J89" s="73">
        <f>SUM(J90:J90)</f>
        <v>0</v>
      </c>
      <c r="K89" s="73">
        <v>-13281</v>
      </c>
      <c r="L89" s="114">
        <v>-9172</v>
      </c>
      <c r="M89" s="73">
        <v>0</v>
      </c>
      <c r="N89" s="73">
        <v>0</v>
      </c>
      <c r="O89" s="73">
        <v>0</v>
      </c>
      <c r="P89" s="73">
        <v>0</v>
      </c>
      <c r="Q89" s="73"/>
      <c r="R89" s="73"/>
      <c r="S89" s="61"/>
      <c r="T89" s="2"/>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spans="1:50" ht="18" hidden="1" customHeight="1" outlineLevel="1" x14ac:dyDescent="0.3">
      <c r="A90" s="2"/>
      <c r="B90" s="65" t="s">
        <v>170</v>
      </c>
      <c r="C90" s="73">
        <v>0</v>
      </c>
      <c r="D90" s="73">
        <v>0</v>
      </c>
      <c r="E90" s="73">
        <v>0</v>
      </c>
      <c r="F90" s="73">
        <v>32372</v>
      </c>
      <c r="G90" s="73">
        <v>0</v>
      </c>
      <c r="H90" s="73">
        <v>0</v>
      </c>
      <c r="I90" s="73">
        <v>0</v>
      </c>
      <c r="J90" s="73">
        <v>0</v>
      </c>
      <c r="K90" s="73">
        <v>0</v>
      </c>
      <c r="L90" s="114">
        <v>0</v>
      </c>
      <c r="M90" s="73">
        <v>0</v>
      </c>
      <c r="N90" s="73">
        <v>0</v>
      </c>
      <c r="O90" s="73">
        <v>0</v>
      </c>
      <c r="P90" s="73">
        <v>0</v>
      </c>
      <c r="Q90" s="73"/>
      <c r="R90" s="73"/>
      <c r="S90" s="61"/>
      <c r="T90" s="2"/>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spans="1:50" ht="18" hidden="1" customHeight="1" outlineLevel="1" x14ac:dyDescent="0.3">
      <c r="A91" s="2"/>
      <c r="B91" s="64" t="s">
        <v>171</v>
      </c>
      <c r="C91" s="73">
        <v>0</v>
      </c>
      <c r="D91" s="73">
        <v>0</v>
      </c>
      <c r="E91" s="73">
        <v>0</v>
      </c>
      <c r="F91" s="73">
        <v>0</v>
      </c>
      <c r="G91" s="73">
        <v>0</v>
      </c>
      <c r="H91" s="73">
        <v>0</v>
      </c>
      <c r="I91" s="73">
        <v>0</v>
      </c>
      <c r="J91" s="73">
        <v>0</v>
      </c>
      <c r="K91" s="73">
        <v>0</v>
      </c>
      <c r="L91" s="114">
        <v>0</v>
      </c>
      <c r="M91" s="73">
        <v>0</v>
      </c>
      <c r="N91" s="73">
        <v>0</v>
      </c>
      <c r="O91" s="73">
        <v>0</v>
      </c>
      <c r="P91" s="73">
        <v>0</v>
      </c>
      <c r="Q91" s="73"/>
      <c r="R91" s="73"/>
      <c r="S91" s="61"/>
      <c r="T91" s="2"/>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spans="1:50" ht="18" hidden="1" customHeight="1" outlineLevel="1" x14ac:dyDescent="0.3">
      <c r="A92" s="2"/>
      <c r="B92" s="64" t="s">
        <v>42</v>
      </c>
      <c r="C92" s="73">
        <v>-211</v>
      </c>
      <c r="D92" s="73">
        <v>-149</v>
      </c>
      <c r="E92" s="73">
        <v>-14</v>
      </c>
      <c r="F92" s="73">
        <v>-253</v>
      </c>
      <c r="G92" s="73">
        <v>-2101</v>
      </c>
      <c r="H92" s="73">
        <v>-4553</v>
      </c>
      <c r="I92" s="73">
        <v>-5416</v>
      </c>
      <c r="J92" s="73">
        <v>-7799</v>
      </c>
      <c r="K92" s="73">
        <v>-9633</v>
      </c>
      <c r="L92" s="114">
        <v>-10849</v>
      </c>
      <c r="M92" s="73">
        <v>0</v>
      </c>
      <c r="N92" s="73">
        <v>0</v>
      </c>
      <c r="O92" s="73">
        <v>0</v>
      </c>
      <c r="P92" s="73">
        <v>0</v>
      </c>
      <c r="Q92" s="73"/>
      <c r="R92" s="73"/>
      <c r="S92" s="61"/>
      <c r="T92" s="2"/>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spans="1:50" ht="18" customHeight="1" collapsed="1" x14ac:dyDescent="0.3">
      <c r="A93" s="2"/>
      <c r="B93" s="52" t="s">
        <v>180</v>
      </c>
      <c r="C93" s="73">
        <f t="shared" ref="C93:L93" si="38">C62+C67</f>
        <v>-203253</v>
      </c>
      <c r="D93" s="73">
        <f t="shared" si="38"/>
        <v>162511</v>
      </c>
      <c r="E93" s="73">
        <f t="shared" si="38"/>
        <v>238429</v>
      </c>
      <c r="F93" s="73">
        <f t="shared" si="38"/>
        <v>1458971</v>
      </c>
      <c r="G93" s="73">
        <f t="shared" si="38"/>
        <v>-236381</v>
      </c>
      <c r="H93" s="73">
        <f t="shared" si="38"/>
        <v>4212</v>
      </c>
      <c r="I93" s="73">
        <f t="shared" si="38"/>
        <v>-34686</v>
      </c>
      <c r="J93" s="73">
        <f t="shared" si="38"/>
        <v>-42438</v>
      </c>
      <c r="K93" s="73">
        <f t="shared" si="38"/>
        <v>512918.3828685903</v>
      </c>
      <c r="L93" s="73">
        <f t="shared" si="38"/>
        <v>726981.27750357054</v>
      </c>
      <c r="M93" s="73">
        <v>0</v>
      </c>
      <c r="N93" s="73">
        <v>0</v>
      </c>
      <c r="O93" s="73">
        <v>0</v>
      </c>
      <c r="P93" s="73">
        <v>0</v>
      </c>
      <c r="Q93" s="73"/>
      <c r="R93" s="73"/>
      <c r="S93" s="61"/>
      <c r="T93" s="2"/>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spans="1:50" ht="18" customHeight="1" x14ac:dyDescent="0.3">
      <c r="A94" s="2"/>
      <c r="B94" s="52" t="s">
        <v>181</v>
      </c>
      <c r="C94" s="73">
        <f t="shared" ref="C94:G94" si="39">C64+C67-C71-C72-C73-C76-C77-C88-C89</f>
        <v>-120434</v>
      </c>
      <c r="D94" s="73">
        <f t="shared" si="39"/>
        <v>221096</v>
      </c>
      <c r="E94" s="73">
        <f t="shared" si="39"/>
        <v>319686</v>
      </c>
      <c r="F94" s="73">
        <f t="shared" si="39"/>
        <v>145756</v>
      </c>
      <c r="G94" s="73">
        <f t="shared" si="39"/>
        <v>-419344</v>
      </c>
      <c r="H94" s="73">
        <v>-213769</v>
      </c>
      <c r="I94" s="73">
        <v>-237532</v>
      </c>
      <c r="J94" s="73">
        <v>-106571</v>
      </c>
      <c r="K94" s="73">
        <f t="shared" ref="K94:L94" si="40">K93</f>
        <v>512918.3828685903</v>
      </c>
      <c r="L94" s="73">
        <f t="shared" si="40"/>
        <v>726981.27750357054</v>
      </c>
      <c r="M94" s="73">
        <v>0</v>
      </c>
      <c r="N94" s="73">
        <v>0</v>
      </c>
      <c r="O94" s="73">
        <v>0</v>
      </c>
      <c r="P94" s="73">
        <v>0</v>
      </c>
      <c r="Q94" s="73"/>
      <c r="R94" s="73"/>
      <c r="S94" s="61"/>
      <c r="T94" s="2"/>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spans="1:50" ht="18" customHeight="1" x14ac:dyDescent="0.3">
      <c r="A95" s="2"/>
      <c r="B95" s="52" t="s">
        <v>45</v>
      </c>
      <c r="C95" s="73">
        <v>63642</v>
      </c>
      <c r="D95" s="73">
        <v>-44667</v>
      </c>
      <c r="E95" s="73">
        <v>-51914</v>
      </c>
      <c r="F95" s="73">
        <v>-450033</v>
      </c>
      <c r="G95" s="73">
        <v>89341</v>
      </c>
      <c r="H95" s="73">
        <v>328018</v>
      </c>
      <c r="I95" s="73">
        <v>44105</v>
      </c>
      <c r="J95" s="73">
        <v>36572</v>
      </c>
      <c r="K95" s="73">
        <v>-60441</v>
      </c>
      <c r="L95" s="73">
        <v>-355147</v>
      </c>
      <c r="M95" s="130">
        <f>M96*M62</f>
        <v>-259537.7562049556</v>
      </c>
      <c r="N95" s="130">
        <f t="shared" ref="N95:P95" si="41">N96*N62</f>
        <v>-278126.30124858941</v>
      </c>
      <c r="O95" s="130">
        <f t="shared" si="41"/>
        <v>-297618.11764163885</v>
      </c>
      <c r="P95" s="130">
        <f t="shared" si="41"/>
        <v>-318369.99411956297</v>
      </c>
      <c r="Q95" s="73"/>
      <c r="R95" s="73"/>
      <c r="S95" s="61"/>
      <c r="T95" s="2"/>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spans="1:50" ht="18" customHeight="1" x14ac:dyDescent="0.3">
      <c r="A96" s="2"/>
      <c r="B96" s="115" t="s">
        <v>596</v>
      </c>
      <c r="C96" s="113">
        <f>C95/C94</f>
        <v>-0.52843881295979545</v>
      </c>
      <c r="D96" s="113">
        <f t="shared" ref="D96:L96" si="42">D95/D94</f>
        <v>-0.20202536454752687</v>
      </c>
      <c r="E96" s="113">
        <f t="shared" si="42"/>
        <v>-0.16239059577210138</v>
      </c>
      <c r="F96" s="113">
        <f t="shared" si="42"/>
        <v>-3.0875778698647056</v>
      </c>
      <c r="G96" s="113">
        <f t="shared" si="42"/>
        <v>-0.21304942958525697</v>
      </c>
      <c r="H96" s="113">
        <f t="shared" si="42"/>
        <v>-1.5344507388816901</v>
      </c>
      <c r="I96" s="113">
        <f t="shared" si="42"/>
        <v>-0.18568024518801676</v>
      </c>
      <c r="J96" s="113">
        <f t="shared" si="42"/>
        <v>-0.34317028084563345</v>
      </c>
      <c r="K96" s="113">
        <f t="shared" si="42"/>
        <v>-0.11783746112192861</v>
      </c>
      <c r="L96" s="113">
        <f t="shared" si="42"/>
        <v>-0.4885228973427802</v>
      </c>
      <c r="M96" s="112">
        <f>AVERAGE(J96:L96)</f>
        <v>-0.3165102131034474</v>
      </c>
      <c r="N96" s="112">
        <f>M96</f>
        <v>-0.3165102131034474</v>
      </c>
      <c r="O96" s="112">
        <f t="shared" ref="O96:P96" si="43">N96</f>
        <v>-0.3165102131034474</v>
      </c>
      <c r="P96" s="112">
        <f t="shared" si="43"/>
        <v>-0.3165102131034474</v>
      </c>
      <c r="Q96" s="73"/>
      <c r="R96" s="73"/>
      <c r="S96" s="61"/>
      <c r="T96" s="2"/>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spans="1:50" ht="18" customHeight="1" x14ac:dyDescent="0.3">
      <c r="A97" s="2"/>
      <c r="B97" s="52" t="s">
        <v>1</v>
      </c>
      <c r="C97" s="73">
        <f t="shared" ref="C97:L97" si="44">C93+C95</f>
        <v>-139611</v>
      </c>
      <c r="D97" s="73">
        <f t="shared" si="44"/>
        <v>117844</v>
      </c>
      <c r="E97" s="73">
        <f t="shared" si="44"/>
        <v>186515</v>
      </c>
      <c r="F97" s="73">
        <f t="shared" si="44"/>
        <v>1008938</v>
      </c>
      <c r="G97" s="73">
        <f t="shared" si="44"/>
        <v>-147040</v>
      </c>
      <c r="H97" s="73">
        <f t="shared" si="44"/>
        <v>332230</v>
      </c>
      <c r="I97" s="73">
        <f t="shared" si="44"/>
        <v>9419</v>
      </c>
      <c r="J97" s="73">
        <f t="shared" si="44"/>
        <v>-5866</v>
      </c>
      <c r="K97" s="73">
        <f t="shared" si="44"/>
        <v>452477.3828685903</v>
      </c>
      <c r="L97" s="73">
        <f t="shared" si="44"/>
        <v>371834.27750357054</v>
      </c>
      <c r="M97" s="73">
        <v>0</v>
      </c>
      <c r="N97" s="73">
        <v>0</v>
      </c>
      <c r="O97" s="73">
        <v>0</v>
      </c>
      <c r="P97" s="73">
        <v>0</v>
      </c>
      <c r="Q97" s="73"/>
      <c r="R97" s="73"/>
      <c r="S97" s="61"/>
      <c r="T97" s="2"/>
      <c r="U97" s="1"/>
      <c r="V97" s="1"/>
      <c r="W97" s="1"/>
      <c r="X97" s="1"/>
      <c r="Y97" s="5"/>
      <c r="Z97" s="5"/>
      <c r="AA97" s="5"/>
      <c r="AB97" s="1"/>
      <c r="AC97" s="1"/>
      <c r="AD97" s="1"/>
      <c r="AE97" s="1"/>
      <c r="AF97" s="1"/>
      <c r="AG97" s="1"/>
      <c r="AH97" s="1"/>
      <c r="AI97" s="1"/>
      <c r="AJ97" s="1"/>
      <c r="AK97" s="1"/>
      <c r="AL97" s="1"/>
      <c r="AM97" s="1"/>
      <c r="AN97" s="1"/>
      <c r="AO97" s="1"/>
      <c r="AP97" s="1"/>
      <c r="AQ97" s="1"/>
      <c r="AR97" s="1"/>
      <c r="AS97" s="1"/>
      <c r="AT97" s="1"/>
      <c r="AU97" s="1"/>
      <c r="AV97" s="1"/>
      <c r="AW97" s="1"/>
      <c r="AX97" s="1"/>
    </row>
    <row r="98" spans="1:50" ht="18" customHeight="1" x14ac:dyDescent="0.3">
      <c r="A98" s="2"/>
      <c r="B98" s="115" t="s">
        <v>597</v>
      </c>
      <c r="C98" s="113">
        <f t="shared" ref="C98:D98" si="45">C97/C10</f>
        <v>-2.9203082230320535E-2</v>
      </c>
      <c r="D98" s="113">
        <f t="shared" si="45"/>
        <v>2.340213002992686E-2</v>
      </c>
      <c r="E98" s="113">
        <f>E97/E10</f>
        <v>3.6293220971552687E-2</v>
      </c>
      <c r="F98" s="113">
        <f t="shared" ref="F98:L98" si="46">F97/F10</f>
        <v>0.19089953072536062</v>
      </c>
      <c r="G98" s="113">
        <f t="shared" si="46"/>
        <v>-3.5990822144538005E-2</v>
      </c>
      <c r="H98" s="113">
        <f t="shared" si="46"/>
        <v>6.4470545132486456E-2</v>
      </c>
      <c r="I98" s="113">
        <f t="shared" si="46"/>
        <v>1.5232347885543436E-3</v>
      </c>
      <c r="J98" s="113">
        <f t="shared" si="46"/>
        <v>-8.7300539623298018E-4</v>
      </c>
      <c r="K98" s="113">
        <f t="shared" si="46"/>
        <v>5.8966876364414278E-2</v>
      </c>
      <c r="L98" s="113">
        <f t="shared" si="46"/>
        <v>4.657853224497091E-2</v>
      </c>
      <c r="M98" s="73">
        <v>0</v>
      </c>
      <c r="N98" s="73">
        <v>0</v>
      </c>
      <c r="O98" s="73">
        <v>0</v>
      </c>
      <c r="P98" s="73">
        <v>0</v>
      </c>
      <c r="Q98" s="73"/>
      <c r="R98" s="73"/>
      <c r="S98" s="61"/>
      <c r="T98" s="2"/>
      <c r="U98" s="1"/>
      <c r="V98" s="1"/>
      <c r="W98" s="1"/>
      <c r="X98" s="1"/>
      <c r="Y98" s="5"/>
      <c r="Z98" s="5"/>
      <c r="AA98" s="5"/>
      <c r="AB98" s="1"/>
      <c r="AC98" s="1"/>
      <c r="AD98" s="1"/>
      <c r="AE98" s="1"/>
      <c r="AF98" s="1"/>
      <c r="AG98" s="1"/>
      <c r="AH98" s="1"/>
      <c r="AI98" s="1"/>
      <c r="AJ98" s="1"/>
      <c r="AK98" s="1"/>
      <c r="AL98" s="1"/>
      <c r="AM98" s="1"/>
      <c r="AN98" s="1"/>
      <c r="AO98" s="1"/>
      <c r="AP98" s="1"/>
      <c r="AQ98" s="1"/>
      <c r="AR98" s="1"/>
      <c r="AS98" s="1"/>
      <c r="AT98" s="1"/>
      <c r="AU98" s="1"/>
      <c r="AV98" s="1"/>
      <c r="AW98" s="1"/>
      <c r="AX98" s="1"/>
    </row>
    <row r="99" spans="1:50" ht="18" customHeight="1" thickBot="1" x14ac:dyDescent="0.35">
      <c r="A99" s="1"/>
      <c r="B99" s="21"/>
      <c r="C99" s="77"/>
      <c r="D99" s="77"/>
      <c r="E99" s="77"/>
      <c r="F99" s="77"/>
      <c r="G99" s="77"/>
      <c r="H99" s="77"/>
      <c r="I99" s="77"/>
      <c r="J99" s="77"/>
      <c r="K99" s="77"/>
      <c r="L99" s="77"/>
      <c r="M99" s="77"/>
      <c r="N99" s="77"/>
      <c r="O99" s="77"/>
      <c r="P99" s="77"/>
      <c r="Q99" s="77"/>
      <c r="R99" s="77"/>
      <c r="S99" s="61"/>
      <c r="T99" s="2"/>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spans="1:50" ht="18" customHeight="1" x14ac:dyDescent="0.3">
      <c r="A100" s="1"/>
      <c r="B100" s="21" t="s">
        <v>61</v>
      </c>
      <c r="C100" s="83">
        <f t="shared" ref="C100:J100" si="47">C62+C95-C101</f>
        <v>57749</v>
      </c>
      <c r="D100" s="83">
        <f t="shared" si="47"/>
        <v>272997</v>
      </c>
      <c r="E100" s="83">
        <f t="shared" si="47"/>
        <v>317186</v>
      </c>
      <c r="F100" s="83">
        <f t="shared" si="47"/>
        <v>885939</v>
      </c>
      <c r="G100" s="83">
        <f t="shared" si="47"/>
        <v>211309</v>
      </c>
      <c r="H100" s="83">
        <f t="shared" si="47"/>
        <v>731332</v>
      </c>
      <c r="I100" s="83">
        <f t="shared" si="47"/>
        <v>667705</v>
      </c>
      <c r="J100" s="83">
        <f t="shared" si="47"/>
        <v>766541</v>
      </c>
      <c r="K100" s="83">
        <f t="shared" ref="K100:P100" si="48">K62+K95-K101</f>
        <v>1075213.3828685903</v>
      </c>
      <c r="L100" s="83">
        <f t="shared" si="48"/>
        <v>1031877.2775035705</v>
      </c>
      <c r="M100" s="139">
        <f t="shared" si="48"/>
        <v>908344.98025656317</v>
      </c>
      <c r="N100" s="139">
        <f t="shared" si="48"/>
        <v>970855.23959752638</v>
      </c>
      <c r="O100" s="139">
        <f t="shared" si="48"/>
        <v>1037611.2420752321</v>
      </c>
      <c r="P100" s="139">
        <f t="shared" si="48"/>
        <v>1108861.912786481</v>
      </c>
      <c r="Q100" s="139">
        <f>P100*(1-P103*P119)</f>
        <v>1168493.0239115993</v>
      </c>
      <c r="R100" s="83"/>
      <c r="S100" s="84"/>
      <c r="T100" s="2"/>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spans="1:50" ht="18" customHeight="1" x14ac:dyDescent="0.3">
      <c r="A101" s="1"/>
      <c r="B101" s="63" t="s">
        <v>550</v>
      </c>
      <c r="C101" s="73">
        <f t="array" ref="C101:J101">DA_ARRENDAMENTO</f>
        <v>0</v>
      </c>
      <c r="D101" s="73">
        <v>0</v>
      </c>
      <c r="E101" s="73">
        <v>0</v>
      </c>
      <c r="F101" s="73">
        <v>-268753</v>
      </c>
      <c r="G101" s="73">
        <v>-278614</v>
      </c>
      <c r="H101" s="73">
        <v>-307986</v>
      </c>
      <c r="I101" s="73">
        <v>-346827</v>
      </c>
      <c r="J101" s="73">
        <v>-343724</v>
      </c>
      <c r="K101" s="73">
        <f>K28+K38</f>
        <v>-326410</v>
      </c>
      <c r="L101" s="73">
        <f>L28+L38</f>
        <v>-342475</v>
      </c>
      <c r="M101" s="130">
        <f>M102*M10</f>
        <v>-347884.6907108468</v>
      </c>
      <c r="N101" s="130">
        <f t="shared" ref="N101:P101" si="49">N102*N10</f>
        <v>-370253.81032044283</v>
      </c>
      <c r="O101" s="130">
        <f t="shared" si="49"/>
        <v>-394918.09859378648</v>
      </c>
      <c r="P101" s="130">
        <f t="shared" si="49"/>
        <v>-421356.01115569816</v>
      </c>
      <c r="Q101" s="73"/>
      <c r="R101" s="73"/>
      <c r="S101" s="61"/>
      <c r="T101" s="2"/>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spans="1:50" ht="18" customHeight="1" x14ac:dyDescent="0.3">
      <c r="A102" s="1"/>
      <c r="B102" s="117" t="s">
        <v>553</v>
      </c>
      <c r="C102" s="118">
        <v>0</v>
      </c>
      <c r="D102" s="118">
        <v>0</v>
      </c>
      <c r="E102" s="118">
        <v>0</v>
      </c>
      <c r="F102" s="118">
        <f>F101/F10</f>
        <v>-5.085032140828559E-2</v>
      </c>
      <c r="G102" s="118">
        <f>G101/G10</f>
        <v>-6.8196048156816597E-2</v>
      </c>
      <c r="H102" s="118">
        <f>H101/H10</f>
        <v>-5.9765901072070471E-2</v>
      </c>
      <c r="I102" s="118">
        <f>I101/I10</f>
        <v>-5.6088645504824008E-2</v>
      </c>
      <c r="J102" s="118">
        <f>J101/J10</f>
        <v>-5.1154603957515324E-2</v>
      </c>
      <c r="K102" s="118">
        <f t="shared" ref="K102:L102" si="50">K101/K10</f>
        <v>-4.253776838984754E-2</v>
      </c>
      <c r="L102" s="118">
        <f t="shared" si="50"/>
        <v>-4.2900786171988226E-2</v>
      </c>
      <c r="M102" s="118">
        <f>L102</f>
        <v>-4.2900786171988226E-2</v>
      </c>
      <c r="N102" s="118">
        <f t="shared" ref="N102:P102" si="51">M102</f>
        <v>-4.2900786171988226E-2</v>
      </c>
      <c r="O102" s="118">
        <f t="shared" si="51"/>
        <v>-4.2900786171988226E-2</v>
      </c>
      <c r="P102" s="118">
        <f t="shared" si="51"/>
        <v>-4.2900786171988226E-2</v>
      </c>
      <c r="Q102" s="86"/>
      <c r="R102" s="86"/>
      <c r="S102" s="61"/>
      <c r="T102" s="2"/>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spans="1:50" ht="18" customHeight="1" collapsed="1" x14ac:dyDescent="0.3">
      <c r="A103" s="1"/>
      <c r="B103" s="34" t="s">
        <v>62</v>
      </c>
      <c r="C103" s="85">
        <f t="array" ref="C103:J103">REINVESTIMENTO/NOPAT</f>
        <v>1.4463104185094158</v>
      </c>
      <c r="D103" s="85">
        <v>0.47804120079418533</v>
      </c>
      <c r="E103" s="85">
        <v>0.16643677962008616</v>
      </c>
      <c r="F103" s="85">
        <v>-0.25645902016924604</v>
      </c>
      <c r="G103" s="85">
        <v>-1.5680248677725594</v>
      </c>
      <c r="H103" s="85">
        <v>-0.60740762463993181</v>
      </c>
      <c r="I103" s="85">
        <v>-0.76363659367116099</v>
      </c>
      <c r="J103" s="85">
        <v>1.1594867038068315</v>
      </c>
      <c r="K103" s="85">
        <f>-K104/K100</f>
        <v>-8.9503946333118006E-2</v>
      </c>
      <c r="L103" s="85">
        <f t="shared" ref="L103:P103" si="52">L104/L100</f>
        <v>-0.88727864516566002</v>
      </c>
      <c r="M103" s="85">
        <f t="shared" si="52"/>
        <v>-0.53533710982038318</v>
      </c>
      <c r="N103" s="85">
        <f t="shared" si="52"/>
        <v>-0.31613810139526449</v>
      </c>
      <c r="O103" s="85">
        <f t="shared" si="52"/>
        <v>-0.31007797387817138</v>
      </c>
      <c r="P103" s="85">
        <f t="shared" si="52"/>
        <v>-0.30262423283760381</v>
      </c>
      <c r="Q103" s="85"/>
      <c r="R103" s="85"/>
      <c r="S103" s="61"/>
      <c r="T103" s="2"/>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spans="1:50" ht="18" hidden="1" customHeight="1" outlineLevel="1" x14ac:dyDescent="0.3">
      <c r="A104" s="1"/>
      <c r="B104" s="31" t="s">
        <v>76</v>
      </c>
      <c r="C104" s="32" cm="1">
        <f t="array" ref="C104:J104">VAR_CAPITAL_GIRO+CAPEX-DEPRECIACAO_E_AMORTIZACAO</f>
        <v>83522.980358500252</v>
      </c>
      <c r="D104" s="78">
        <v>130503.81369321021</v>
      </c>
      <c r="E104" s="78">
        <v>52791.416380576644</v>
      </c>
      <c r="F104" s="78">
        <v>-227207.04786972166</v>
      </c>
      <c r="G104" s="78">
        <v>-331337.76678415178</v>
      </c>
      <c r="H104" s="78">
        <v>-444216.63294317061</v>
      </c>
      <c r="I104" s="78">
        <v>-509883.97177720256</v>
      </c>
      <c r="J104" s="78">
        <v>888794.09742279234</v>
      </c>
      <c r="K104" s="78">
        <f>K105+K108-K106</f>
        <v>96235.84091692057</v>
      </c>
      <c r="L104" s="78">
        <f t="shared" ref="L104:P104" si="53">L105+L108-L106</f>
        <v>-915562.6727605979</v>
      </c>
      <c r="M104" s="130">
        <f t="shared" si="53"/>
        <v>-486270.77645040158</v>
      </c>
      <c r="N104" s="130">
        <f t="shared" si="53"/>
        <v>-306924.33217600657</v>
      </c>
      <c r="O104" s="130">
        <f t="shared" si="53"/>
        <v>-321740.39161590079</v>
      </c>
      <c r="P104" s="130">
        <f t="shared" si="53"/>
        <v>-335568.48567984672</v>
      </c>
      <c r="Q104" s="78"/>
      <c r="R104" s="78"/>
      <c r="S104" s="61"/>
      <c r="T104" s="2"/>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spans="1:50" ht="18" hidden="1" customHeight="1" outlineLevel="1" x14ac:dyDescent="0.3">
      <c r="A105" s="1"/>
      <c r="B105" s="33" t="s">
        <v>551</v>
      </c>
      <c r="C105" s="32">
        <v>0</v>
      </c>
      <c r="D105" s="78">
        <f>'Painel de Índices'!D37-'Painel de Índices'!C37</f>
        <v>31787.833333333256</v>
      </c>
      <c r="E105" s="78">
        <f>'Painel de Índices'!E37-'Painel de Índices'!D37</f>
        <v>93292.458333333489</v>
      </c>
      <c r="F105" s="78">
        <f>'Painel de Índices'!F37-'Painel de Índices'!E37</f>
        <v>-134980</v>
      </c>
      <c r="G105" s="78">
        <f>'Painel de Índices'!G37-'Painel de Índices'!F37</f>
        <v>-268800.70833333349</v>
      </c>
      <c r="H105" s="78">
        <f>'Painel de Índices'!H37-'Painel de Índices'!G37</f>
        <v>-1898.4583333332557</v>
      </c>
      <c r="I105" s="78">
        <f>'Painel de Índices'!I37-'Painel de Índices'!H37</f>
        <v>-425167.45833333302</v>
      </c>
      <c r="J105" s="78">
        <f>'Painel de Índices'!J37-'Painel de Índices'!I37</f>
        <v>743939.125</v>
      </c>
      <c r="K105" s="78">
        <f>'Painel de Índices'!K37-'Painel de Índices'!J37</f>
        <v>124792.81738047488</v>
      </c>
      <c r="L105" s="78">
        <f>'Painel de Índices'!L37-'Painel de Índices'!K37</f>
        <v>-120027.84256262239</v>
      </c>
      <c r="M105" s="130">
        <f>-('Painel de Índices'!M37-'Painel de Índices'!L37)</f>
        <v>-253457.9475058309</v>
      </c>
      <c r="N105" s="130">
        <f>-('Painel de Índices'!N37-'Painel de Índices'!M37)</f>
        <v>-66899.605368247605</v>
      </c>
      <c r="O105" s="130">
        <f>-('Painel de Índices'!O37-'Painel de Índices'!N37)</f>
        <v>-73763.794953626581</v>
      </c>
      <c r="P105" s="130">
        <f>-('Painel de Índices'!P37-'Painel de Índices'!O37)</f>
        <v>-79068.195262963651</v>
      </c>
      <c r="Q105" s="78"/>
      <c r="R105" s="78"/>
      <c r="S105" s="61"/>
      <c r="T105" s="2"/>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spans="1:50" ht="18" hidden="1" customHeight="1" outlineLevel="1" x14ac:dyDescent="0.3">
      <c r="A106" s="1"/>
      <c r="B106" s="33" t="s">
        <v>40</v>
      </c>
      <c r="C106" s="32">
        <f t="array" ref="C106:J106">DEPRECIACAO_E_AMORTIZACAO</f>
        <v>-201873</v>
      </c>
      <c r="D106" s="78">
        <v>-197616</v>
      </c>
      <c r="E106" s="78">
        <v>-205224</v>
      </c>
      <c r="F106" s="78">
        <v>-233043</v>
      </c>
      <c r="G106" s="78">
        <v>-246333</v>
      </c>
      <c r="H106" s="78">
        <v>-246655</v>
      </c>
      <c r="I106" s="78">
        <v>-295060</v>
      </c>
      <c r="J106" s="78">
        <v>-367655</v>
      </c>
      <c r="K106" s="78">
        <f>K39+K29</f>
        <v>-349127</v>
      </c>
      <c r="L106" s="78">
        <f>L39+L29</f>
        <v>-344613</v>
      </c>
      <c r="M106" s="130">
        <f>M107*M10</f>
        <v>-350056.46228173462</v>
      </c>
      <c r="N106" s="130">
        <f>N107*N10</f>
        <v>-372565.22763985331</v>
      </c>
      <c r="O106" s="130">
        <f>O107*O10</f>
        <v>-397383.48992101778</v>
      </c>
      <c r="P106" s="130">
        <f>P107*P10</f>
        <v>-423986.44885728485</v>
      </c>
      <c r="Q106" s="78"/>
      <c r="R106" s="78"/>
      <c r="S106" s="61"/>
      <c r="T106" s="2"/>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spans="1:50" ht="18" hidden="1" customHeight="1" outlineLevel="1" x14ac:dyDescent="0.3">
      <c r="A107" s="1"/>
      <c r="B107" s="140" t="s">
        <v>553</v>
      </c>
      <c r="C107" s="141" cm="1">
        <f t="array" ref="C107:J107">DEPRECIACAO_E_AMORTIZACAO/RECEITA_LIQUIDA</f>
        <v>-4.2226714364065131E-2</v>
      </c>
      <c r="D107" s="141">
        <v>-3.9243706323563582E-2</v>
      </c>
      <c r="E107" s="141">
        <v>-3.9933731767771645E-2</v>
      </c>
      <c r="F107" s="141">
        <v>-4.4093689938162914E-2</v>
      </c>
      <c r="G107" s="141">
        <v>-6.0294662617862357E-2</v>
      </c>
      <c r="H107" s="141">
        <v>-4.7864378020207224E-2</v>
      </c>
      <c r="I107" s="141">
        <v>-4.7716918644319421E-2</v>
      </c>
      <c r="J107" s="141">
        <v>-5.4716126653944146E-2</v>
      </c>
      <c r="K107" s="141">
        <f>K106/K10</f>
        <v>-4.5498249026201108E-2</v>
      </c>
      <c r="L107" s="141">
        <f>L106/L10</f>
        <v>-4.316860683287066E-2</v>
      </c>
      <c r="M107" s="141">
        <f>L107</f>
        <v>-4.316860683287066E-2</v>
      </c>
      <c r="N107" s="141">
        <f t="shared" ref="N107:P107" si="54">M107</f>
        <v>-4.316860683287066E-2</v>
      </c>
      <c r="O107" s="141">
        <f t="shared" si="54"/>
        <v>-4.316860683287066E-2</v>
      </c>
      <c r="P107" s="141">
        <f t="shared" si="54"/>
        <v>-4.316860683287066E-2</v>
      </c>
      <c r="Q107" s="87"/>
      <c r="R107" s="87"/>
      <c r="S107" s="61"/>
      <c r="T107" s="2"/>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spans="1:50" ht="18" hidden="1" customHeight="1" outlineLevel="1" x14ac:dyDescent="0.3">
      <c r="A108" s="1"/>
      <c r="B108" s="33" t="s">
        <v>66</v>
      </c>
      <c r="C108" s="32">
        <f t="shared" ref="C108:L108" si="55">SUM(C109:C117)</f>
        <v>-118350.01964149975</v>
      </c>
      <c r="D108" s="78">
        <f t="shared" si="55"/>
        <v>-98900.01964012305</v>
      </c>
      <c r="E108" s="78">
        <f t="shared" si="55"/>
        <v>-245725.04195275684</v>
      </c>
      <c r="F108" s="78">
        <f t="shared" si="55"/>
        <v>-325270.04786972166</v>
      </c>
      <c r="G108" s="78">
        <f t="shared" si="55"/>
        <v>-308870.05845081829</v>
      </c>
      <c r="H108" s="78">
        <f t="shared" si="55"/>
        <v>-688973.17460983736</v>
      </c>
      <c r="I108" s="78">
        <f t="shared" si="55"/>
        <v>-379776.51344386954</v>
      </c>
      <c r="J108" s="78">
        <f t="shared" si="55"/>
        <v>-222800.02757720763</v>
      </c>
      <c r="K108" s="78">
        <f t="shared" si="55"/>
        <v>-377683.97646355431</v>
      </c>
      <c r="L108" s="78">
        <f t="shared" si="55"/>
        <v>-1140147.8301979755</v>
      </c>
      <c r="M108" s="130">
        <f>M109+M111+M113+M115</f>
        <v>-582869.2912263053</v>
      </c>
      <c r="N108" s="130">
        <f t="shared" ref="N108:P108" si="56">N109+N111+N113+N115</f>
        <v>-612589.95444761228</v>
      </c>
      <c r="O108" s="130">
        <f t="shared" si="56"/>
        <v>-645360.086583292</v>
      </c>
      <c r="P108" s="130">
        <f t="shared" si="56"/>
        <v>-680486.73927416792</v>
      </c>
      <c r="Q108" s="78"/>
      <c r="R108" s="78"/>
      <c r="S108" s="61"/>
      <c r="T108" s="2"/>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spans="1:50" ht="18" hidden="1" customHeight="1" outlineLevel="1" x14ac:dyDescent="0.3">
      <c r="A109" s="1"/>
      <c r="B109" s="50" t="s">
        <v>67</v>
      </c>
      <c r="C109" s="32">
        <v>-16300</v>
      </c>
      <c r="D109" s="78">
        <v>0</v>
      </c>
      <c r="E109" s="78">
        <v>-24100</v>
      </c>
      <c r="F109" s="78">
        <v>-65700</v>
      </c>
      <c r="G109" s="78">
        <v>-63700</v>
      </c>
      <c r="H109" s="78">
        <v>-178700</v>
      </c>
      <c r="I109" s="78">
        <v>-108400</v>
      </c>
      <c r="J109" s="78">
        <v>-30000</v>
      </c>
      <c r="K109" s="32">
        <v>-32042.896619995503</v>
      </c>
      <c r="L109" s="32">
        <v>-86199.453289999903</v>
      </c>
      <c r="M109" s="130">
        <f>M110*'Projeções - Receita Varejo'!M9</f>
        <v>-120653.34741999433</v>
      </c>
      <c r="N109" s="130">
        <f>N110*'Projeções - Receita Varejo'!N9</f>
        <v>-120653.34741999433</v>
      </c>
      <c r="O109" s="130">
        <f>O110*'Projeções - Receita Varejo'!O9</f>
        <v>-120653.34741999433</v>
      </c>
      <c r="P109" s="130">
        <f>P110*'Projeções - Receita Varejo'!P9</f>
        <v>-120653.34741999433</v>
      </c>
      <c r="Q109" s="78"/>
      <c r="R109" s="78"/>
      <c r="S109" s="61"/>
      <c r="T109" s="2"/>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spans="1:50" ht="18" hidden="1" customHeight="1" outlineLevel="1" x14ac:dyDescent="0.3">
      <c r="A110" s="1"/>
      <c r="B110" s="68" t="s">
        <v>517</v>
      </c>
      <c r="C110" s="32">
        <f t="array" ref="C110:J110">IFERROR(CAPEX_NOVAS_LOJAS/NOVAS_LOJAS,0)</f>
        <v>-8150</v>
      </c>
      <c r="D110" s="78">
        <v>0</v>
      </c>
      <c r="E110" s="78">
        <v>-6025</v>
      </c>
      <c r="F110" s="78">
        <v>-6570</v>
      </c>
      <c r="G110" s="78">
        <v>-6370</v>
      </c>
      <c r="H110" s="78">
        <v>-6873.0769230769229</v>
      </c>
      <c r="I110" s="78">
        <v>-6376.4705882352937</v>
      </c>
      <c r="J110" s="78">
        <v>-7500</v>
      </c>
      <c r="K110" s="78">
        <f>K109/'Projeções - Receita Varejo'!K9</f>
        <v>-8010.7241549988757</v>
      </c>
      <c r="L110" s="78">
        <f>L109/'Projeções - Receita Varejo'!L9</f>
        <v>-8619.945328999991</v>
      </c>
      <c r="M110" s="130">
        <f>AVERAGE($J$110:$L$110)</f>
        <v>-8043.5564946662889</v>
      </c>
      <c r="N110" s="130">
        <f t="shared" ref="N110:P110" si="57">AVERAGE($J$110:$L$110)</f>
        <v>-8043.5564946662889</v>
      </c>
      <c r="O110" s="130">
        <f t="shared" si="57"/>
        <v>-8043.5564946662889</v>
      </c>
      <c r="P110" s="130">
        <f t="shared" si="57"/>
        <v>-8043.5564946662889</v>
      </c>
      <c r="Q110" s="78"/>
      <c r="R110" s="78"/>
      <c r="S110" s="61"/>
      <c r="T110" s="2"/>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spans="1:50" ht="18" hidden="1" customHeight="1" outlineLevel="1" x14ac:dyDescent="0.3">
      <c r="A111" s="1"/>
      <c r="B111" s="50" t="s">
        <v>68</v>
      </c>
      <c r="C111" s="32">
        <v>-29800</v>
      </c>
      <c r="D111" s="78">
        <v>-20100</v>
      </c>
      <c r="E111" s="78">
        <v>-132500</v>
      </c>
      <c r="F111" s="78">
        <v>-131600</v>
      </c>
      <c r="G111" s="78">
        <v>-74400</v>
      </c>
      <c r="H111" s="78">
        <v>-59800</v>
      </c>
      <c r="I111" s="78">
        <v>-45600</v>
      </c>
      <c r="J111" s="78">
        <v>-33600</v>
      </c>
      <c r="K111" s="78">
        <f t="shared" ref="K111:P111" si="58">K112*K10</f>
        <v>-153468.32349479999</v>
      </c>
      <c r="L111" s="78">
        <f t="shared" si="58"/>
        <v>-271420.43395938905</v>
      </c>
      <c r="M111" s="130">
        <f t="shared" si="58"/>
        <v>-275707.75595464162</v>
      </c>
      <c r="N111" s="130">
        <f t="shared" si="58"/>
        <v>-293435.87085857918</v>
      </c>
      <c r="O111" s="130">
        <f t="shared" si="58"/>
        <v>-312982.96722021262</v>
      </c>
      <c r="P111" s="130">
        <f t="shared" si="58"/>
        <v>-333935.70742178778</v>
      </c>
      <c r="Q111" s="78"/>
      <c r="R111" s="78"/>
      <c r="S111" s="61"/>
      <c r="T111" s="2"/>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spans="1:50" ht="18" hidden="1" customHeight="1" outlineLevel="1" x14ac:dyDescent="0.3">
      <c r="A112" s="1"/>
      <c r="B112" s="142" t="s">
        <v>553</v>
      </c>
      <c r="C112" s="141">
        <f t="array" ref="C112:J112">C111:J111/RECEITA_LIQUIDA</f>
        <v>-6.2334046061094895E-3</v>
      </c>
      <c r="D112" s="141">
        <v>-3.9915720240447537E-3</v>
      </c>
      <c r="E112" s="141">
        <v>-2.5782654364156936E-2</v>
      </c>
      <c r="F112" s="141">
        <v>-2.4899823619942411E-2</v>
      </c>
      <c r="G112" s="141">
        <v>-1.8210807722753179E-2</v>
      </c>
      <c r="H112" s="141">
        <v>-1.1604426448311982E-2</v>
      </c>
      <c r="I112" s="141">
        <v>-7.3744034778721809E-3</v>
      </c>
      <c r="J112" s="141">
        <v>-5.0005082361793615E-3</v>
      </c>
      <c r="K112" s="141">
        <v>-0.02</v>
      </c>
      <c r="L112" s="141">
        <v>-3.4000000000000002E-2</v>
      </c>
      <c r="M112" s="141">
        <f>L112</f>
        <v>-3.4000000000000002E-2</v>
      </c>
      <c r="N112" s="141">
        <f t="shared" ref="N112:P112" si="59">M112</f>
        <v>-3.4000000000000002E-2</v>
      </c>
      <c r="O112" s="141">
        <f t="shared" si="59"/>
        <v>-3.4000000000000002E-2</v>
      </c>
      <c r="P112" s="141">
        <f t="shared" si="59"/>
        <v>-3.4000000000000002E-2</v>
      </c>
      <c r="Q112" s="86"/>
      <c r="R112" s="86"/>
      <c r="S112" s="61"/>
      <c r="T112" s="2"/>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spans="1:50" ht="18" hidden="1" customHeight="1" outlineLevel="1" x14ac:dyDescent="0.3">
      <c r="A113" s="1"/>
      <c r="B113" s="50" t="s">
        <v>69</v>
      </c>
      <c r="C113" s="32">
        <v>-4600</v>
      </c>
      <c r="D113" s="78">
        <v>-31200</v>
      </c>
      <c r="E113" s="78">
        <v>-4600</v>
      </c>
      <c r="F113" s="78">
        <v>-15000</v>
      </c>
      <c r="G113" s="78">
        <v>-45000</v>
      </c>
      <c r="H113" s="78">
        <v>-144500</v>
      </c>
      <c r="I113" s="78">
        <v>-37800</v>
      </c>
      <c r="J113" s="78">
        <v>-18300</v>
      </c>
      <c r="K113" s="78">
        <f t="shared" ref="K113:P113" si="60">K114*K10</f>
        <v>-15346.832349479999</v>
      </c>
      <c r="L113" s="78">
        <f t="shared" si="60"/>
        <v>-31931.815759928118</v>
      </c>
      <c r="M113" s="130">
        <f t="shared" si="60"/>
        <v>-32436.206582899009</v>
      </c>
      <c r="N113" s="130">
        <f t="shared" si="60"/>
        <v>-34521.867159832844</v>
      </c>
      <c r="O113" s="130">
        <f t="shared" si="60"/>
        <v>-36821.525555319131</v>
      </c>
      <c r="P113" s="130">
        <f t="shared" si="60"/>
        <v>-39286.55381432797</v>
      </c>
      <c r="Q113" s="78"/>
      <c r="R113" s="78"/>
      <c r="S113" s="61"/>
      <c r="T113" s="2"/>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spans="1:50" ht="18" hidden="1" customHeight="1" outlineLevel="1" x14ac:dyDescent="0.3">
      <c r="A114" s="1"/>
      <c r="B114" s="142" t="s">
        <v>553</v>
      </c>
      <c r="C114" s="118" cm="1">
        <f t="array" ref="C114:J114">C113:J113/RECEITA_LIQUIDA</f>
        <v>-9.6220339557394807E-4</v>
      </c>
      <c r="D114" s="118">
        <v>-6.19587299254708E-3</v>
      </c>
      <c r="E114" s="141">
        <v>-8.9509592509525956E-4</v>
      </c>
      <c r="F114" s="141">
        <v>-2.8381257925466277E-3</v>
      </c>
      <c r="G114" s="141">
        <v>-1.1014601445213617E-2</v>
      </c>
      <c r="H114" s="141">
        <v>-2.8040796350854207E-2</v>
      </c>
      <c r="I114" s="141">
        <v>-6.1129923566572023E-3</v>
      </c>
      <c r="J114" s="141">
        <v>-2.7234910929191166E-3</v>
      </c>
      <c r="K114" s="141">
        <v>-2E-3</v>
      </c>
      <c r="L114" s="141">
        <v>-4.0000000000000001E-3</v>
      </c>
      <c r="M114" s="141">
        <f>L114</f>
        <v>-4.0000000000000001E-3</v>
      </c>
      <c r="N114" s="141">
        <f t="shared" ref="N114:P114" si="61">M114</f>
        <v>-4.0000000000000001E-3</v>
      </c>
      <c r="O114" s="141">
        <f t="shared" si="61"/>
        <v>-4.0000000000000001E-3</v>
      </c>
      <c r="P114" s="141">
        <f t="shared" si="61"/>
        <v>-4.0000000000000001E-3</v>
      </c>
      <c r="Q114" s="86"/>
      <c r="R114" s="86"/>
      <c r="S114" s="61"/>
      <c r="T114" s="2"/>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spans="1:50" ht="18" hidden="1" customHeight="1" outlineLevel="1" x14ac:dyDescent="0.3">
      <c r="A115" s="1"/>
      <c r="B115" s="50" t="s">
        <v>506</v>
      </c>
      <c r="C115" s="32">
        <v>-59500</v>
      </c>
      <c r="D115" s="78">
        <v>-47600</v>
      </c>
      <c r="E115" s="78">
        <v>-78500</v>
      </c>
      <c r="F115" s="78">
        <v>-106400</v>
      </c>
      <c r="G115" s="78">
        <v>-119400</v>
      </c>
      <c r="H115" s="78">
        <v>-299100</v>
      </c>
      <c r="I115" s="78">
        <v>-181600</v>
      </c>
      <c r="J115" s="78">
        <v>-133400</v>
      </c>
      <c r="K115" s="78">
        <f t="shared" ref="K115:P115" si="62">K116*K10</f>
        <v>-168815.15584427997</v>
      </c>
      <c r="L115" s="78">
        <f t="shared" si="62"/>
        <v>-151676.12485965856</v>
      </c>
      <c r="M115" s="130">
        <f t="shared" si="62"/>
        <v>-154071.98126877029</v>
      </c>
      <c r="N115" s="130">
        <f t="shared" si="62"/>
        <v>-163978.86900920598</v>
      </c>
      <c r="O115" s="130">
        <f t="shared" si="62"/>
        <v>-174902.24638776586</v>
      </c>
      <c r="P115" s="130">
        <f t="shared" si="62"/>
        <v>-186611.13061805785</v>
      </c>
      <c r="Q115" s="78"/>
      <c r="R115" s="78"/>
      <c r="S115" s="61" t="s">
        <v>554</v>
      </c>
      <c r="T115" s="2"/>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spans="1:50" ht="18" hidden="1" customHeight="1" outlineLevel="1" x14ac:dyDescent="0.3">
      <c r="A116" s="1"/>
      <c r="B116" s="142" t="s">
        <v>553</v>
      </c>
      <c r="C116" s="118" cm="1">
        <f t="array" ref="C116:J116">C115:J115/RECEITA_LIQUIDA</f>
        <v>-1.2445891747097806E-2</v>
      </c>
      <c r="D116" s="118">
        <v>-9.4526780270910576E-3</v>
      </c>
      <c r="E116" s="141">
        <v>-1.5275006547821279E-2</v>
      </c>
      <c r="F116" s="141">
        <v>-2.0131772288464078E-2</v>
      </c>
      <c r="G116" s="141">
        <v>-2.9225409167966798E-2</v>
      </c>
      <c r="H116" s="141">
        <v>-5.8041537636958428E-2</v>
      </c>
      <c r="I116" s="141">
        <v>-2.936823841187693E-2</v>
      </c>
      <c r="J116" s="141">
        <v>-1.9853208294831157E-2</v>
      </c>
      <c r="K116" s="141">
        <v>-2.1999999999999999E-2</v>
      </c>
      <c r="L116" s="141">
        <v>-1.9E-2</v>
      </c>
      <c r="M116" s="141">
        <f>L116</f>
        <v>-1.9E-2</v>
      </c>
      <c r="N116" s="141">
        <f t="shared" ref="N116:P116" si="63">M116</f>
        <v>-1.9E-2</v>
      </c>
      <c r="O116" s="141">
        <f t="shared" si="63"/>
        <v>-1.9E-2</v>
      </c>
      <c r="P116" s="141">
        <f t="shared" si="63"/>
        <v>-1.9E-2</v>
      </c>
      <c r="Q116" s="86"/>
      <c r="R116" s="86"/>
      <c r="S116" s="61"/>
      <c r="T116" s="2"/>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spans="1:50" ht="18" hidden="1" customHeight="1" outlineLevel="1" x14ac:dyDescent="0.3">
      <c r="A117" s="1"/>
      <c r="B117" s="50" t="s">
        <v>507</v>
      </c>
      <c r="C117" s="32">
        <v>0</v>
      </c>
      <c r="D117" s="78">
        <v>0</v>
      </c>
      <c r="E117" s="78">
        <v>0</v>
      </c>
      <c r="F117" s="78">
        <v>0</v>
      </c>
      <c r="G117" s="78">
        <v>0</v>
      </c>
      <c r="H117" s="78">
        <v>0</v>
      </c>
      <c r="I117" s="78">
        <v>0</v>
      </c>
      <c r="J117" s="78">
        <v>0</v>
      </c>
      <c r="K117" s="78">
        <v>0</v>
      </c>
      <c r="L117" s="78">
        <v>-590300</v>
      </c>
      <c r="M117" s="78">
        <v>0</v>
      </c>
      <c r="N117" s="78">
        <v>0</v>
      </c>
      <c r="O117" s="78">
        <v>0</v>
      </c>
      <c r="P117" s="78">
        <v>0</v>
      </c>
      <c r="Q117" s="78"/>
      <c r="R117" s="78"/>
      <c r="S117" s="61"/>
      <c r="T117" s="2"/>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spans="1:50" ht="18" customHeight="1" collapsed="1" x14ac:dyDescent="0.3">
      <c r="A118" s="1"/>
      <c r="B118" s="21" t="s">
        <v>63</v>
      </c>
      <c r="C118" s="24">
        <f t="array" ref="C118:J118">NOPAT*(1-TAXA_REINVESTIMENTO)</f>
        <v>-25773.980358500252</v>
      </c>
      <c r="D118" s="74">
        <v>142493.18630678978</v>
      </c>
      <c r="E118" s="74">
        <v>264394.58361942333</v>
      </c>
      <c r="F118" s="74">
        <v>1113146.0478697217</v>
      </c>
      <c r="G118" s="74">
        <v>542646.76678415178</v>
      </c>
      <c r="H118" s="74">
        <v>1175548.6329431706</v>
      </c>
      <c r="I118" s="74">
        <v>1177588.9717772026</v>
      </c>
      <c r="J118" s="74">
        <v>-122253.09742279242</v>
      </c>
      <c r="K118" s="74">
        <f>K100-K104</f>
        <v>978977.54195166973</v>
      </c>
      <c r="L118" s="74">
        <f>L100*(1+L103)</f>
        <v>116314.60474297268</v>
      </c>
      <c r="M118" s="130">
        <f t="shared" ref="M118:P118" si="64">M100*(1+M103)</f>
        <v>422074.20380616159</v>
      </c>
      <c r="N118" s="130">
        <f t="shared" si="64"/>
        <v>663930.90742151986</v>
      </c>
      <c r="O118" s="130">
        <f t="shared" si="64"/>
        <v>715870.8504593313</v>
      </c>
      <c r="P118" s="130">
        <f t="shared" si="64"/>
        <v>773293.42710663413</v>
      </c>
      <c r="Q118" s="130">
        <f>Q100/(P120-5.67%)</f>
        <v>8575632.6244085468</v>
      </c>
      <c r="R118" s="74"/>
      <c r="S118" s="61"/>
      <c r="T118" s="2"/>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spans="1:50" ht="18" customHeight="1" x14ac:dyDescent="0.3">
      <c r="A119" s="1"/>
      <c r="B119" s="21" t="s">
        <v>555</v>
      </c>
      <c r="C119" s="38" cm="1">
        <f t="array" ref="C119:J119">ROIC</f>
        <v>2.5355149759757185E-2</v>
      </c>
      <c r="D119" s="38">
        <v>0.12685239384926977</v>
      </c>
      <c r="E119" s="38">
        <v>0.14217999957015251</v>
      </c>
      <c r="F119" s="38">
        <v>0.26896412354988031</v>
      </c>
      <c r="G119" s="38">
        <v>5.8695061526710654E-2</v>
      </c>
      <c r="H119" s="38">
        <v>0.19984008449856125</v>
      </c>
      <c r="I119" s="38">
        <v>0.1531735347164947</v>
      </c>
      <c r="J119" s="38">
        <v>0.2037165413878449</v>
      </c>
      <c r="K119" s="38">
        <f>K100/J100*J119/(-K103*J119+1)</f>
        <v>0.28063266037353185</v>
      </c>
      <c r="L119" s="38">
        <f t="shared" ref="L119:P119" si="65">L100/K100*K119/(-L103*K119+1)</f>
        <v>0.21563009938971309</v>
      </c>
      <c r="M119" s="146">
        <f t="shared" si="65"/>
        <v>0.17017194666015073</v>
      </c>
      <c r="N119" s="146">
        <f t="shared" si="65"/>
        <v>0.17259742922416388</v>
      </c>
      <c r="O119" s="146">
        <f t="shared" si="65"/>
        <v>0.17509440941573595</v>
      </c>
      <c r="P119" s="146">
        <f t="shared" si="65"/>
        <v>0.17770176184544975</v>
      </c>
      <c r="Q119" s="38"/>
      <c r="R119" s="38"/>
      <c r="S119" s="41"/>
      <c r="T119" s="2"/>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spans="1:50" ht="18" customHeight="1" x14ac:dyDescent="0.3">
      <c r="A120" s="1"/>
      <c r="B120" s="21" t="s">
        <v>46</v>
      </c>
      <c r="C120" s="41" t="s">
        <v>552</v>
      </c>
      <c r="D120" s="41" t="s">
        <v>552</v>
      </c>
      <c r="E120" s="41" t="s">
        <v>552</v>
      </c>
      <c r="F120" s="41" t="s">
        <v>552</v>
      </c>
      <c r="G120" s="41" t="s">
        <v>552</v>
      </c>
      <c r="H120" s="41" t="s">
        <v>552</v>
      </c>
      <c r="I120" s="41" t="s">
        <v>552</v>
      </c>
      <c r="J120" s="41" t="s">
        <v>552</v>
      </c>
      <c r="K120" s="41" t="s">
        <v>552</v>
      </c>
      <c r="L120" s="41" t="s">
        <v>552</v>
      </c>
      <c r="M120" s="149">
        <f>((M121*M126)+(M127*Dashboard!$C$10))/(M121+Dashboard!$C$10)</f>
        <v>0.19032447803522054</v>
      </c>
      <c r="N120" s="149">
        <f>((N121*N126)+(N127*Dashboard!$C$10))/(N121+Dashboard!$C$10)</f>
        <v>0.18964697125966237</v>
      </c>
      <c r="O120" s="149">
        <f>((O121*O126)+(O127*Dashboard!$C$10))/(O121+Dashboard!$C$10)</f>
        <v>0.19127344360460813</v>
      </c>
      <c r="P120" s="149">
        <f>((P121*P126)+(P127*Dashboard!$C$10))/(P121+Dashboard!$C$10)</f>
        <v>0.19295735558980864</v>
      </c>
      <c r="Q120" s="41"/>
      <c r="R120" s="41"/>
      <c r="S120" s="79"/>
      <c r="T120" s="2"/>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spans="1:50" ht="18" customHeight="1" x14ac:dyDescent="0.3">
      <c r="A121" s="1"/>
      <c r="B121" s="33" t="s">
        <v>965</v>
      </c>
      <c r="C121" s="41" t="s">
        <v>552</v>
      </c>
      <c r="D121" s="41" t="s">
        <v>552</v>
      </c>
      <c r="E121" s="41" t="s">
        <v>552</v>
      </c>
      <c r="F121" s="41" t="s">
        <v>552</v>
      </c>
      <c r="G121" s="41" t="s">
        <v>552</v>
      </c>
      <c r="H121" s="41" t="s">
        <v>552</v>
      </c>
      <c r="I121" s="41" t="s">
        <v>552</v>
      </c>
      <c r="J121" s="41" t="s">
        <v>552</v>
      </c>
      <c r="K121" s="41" t="s">
        <v>552</v>
      </c>
      <c r="L121" s="41" t="s">
        <v>552</v>
      </c>
      <c r="M121" s="32">
        <v>4148430.0372427553</v>
      </c>
      <c r="N121" s="32">
        <v>4148430.0372427553</v>
      </c>
      <c r="O121" s="32">
        <v>4148430.0372427553</v>
      </c>
      <c r="P121" s="32">
        <v>4148430.0372427553</v>
      </c>
      <c r="Q121" s="41"/>
      <c r="R121" s="41"/>
      <c r="S121" s="79"/>
      <c r="T121" s="2"/>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spans="1:50" ht="18" customHeight="1" x14ac:dyDescent="0.3">
      <c r="A122" s="1"/>
      <c r="B122" s="33" t="s">
        <v>955</v>
      </c>
      <c r="C122" s="41" t="s">
        <v>552</v>
      </c>
      <c r="D122" s="41" t="s">
        <v>552</v>
      </c>
      <c r="E122" s="41" t="s">
        <v>552</v>
      </c>
      <c r="F122" s="41" t="s">
        <v>552</v>
      </c>
      <c r="G122" s="41" t="s">
        <v>552</v>
      </c>
      <c r="H122" s="41" t="s">
        <v>552</v>
      </c>
      <c r="I122" s="41" t="s">
        <v>552</v>
      </c>
      <c r="J122" s="41" t="s">
        <v>552</v>
      </c>
      <c r="K122" s="41" t="s">
        <v>552</v>
      </c>
      <c r="L122" s="41" t="s">
        <v>552</v>
      </c>
      <c r="M122" s="80">
        <f>14%+Dashboard!K16</f>
        <v>0.14000000000000001</v>
      </c>
      <c r="N122" s="80">
        <f>13.8%+Dashboard!K16</f>
        <v>0.13800000000000001</v>
      </c>
      <c r="O122" s="80">
        <f>13.93%+Dashboard!K16</f>
        <v>0.13930000000000001</v>
      </c>
      <c r="P122" s="80">
        <f>14.1%+Dashboard!K16</f>
        <v>0.14099999999999999</v>
      </c>
      <c r="Q122" s="41"/>
      <c r="R122" s="41"/>
      <c r="S122" s="79"/>
      <c r="T122" s="2"/>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spans="1:50" ht="18" customHeight="1" x14ac:dyDescent="0.3">
      <c r="A123" s="1"/>
      <c r="B123" s="33" t="s">
        <v>558</v>
      </c>
      <c r="C123" s="41" t="s">
        <v>552</v>
      </c>
      <c r="D123" s="41" t="s">
        <v>552</v>
      </c>
      <c r="E123" s="41" t="s">
        <v>552</v>
      </c>
      <c r="F123" s="41" t="s">
        <v>552</v>
      </c>
      <c r="G123" s="41" t="s">
        <v>552</v>
      </c>
      <c r="H123" s="41" t="s">
        <v>552</v>
      </c>
      <c r="I123" s="41" t="s">
        <v>552</v>
      </c>
      <c r="J123" s="41" t="s">
        <v>552</v>
      </c>
      <c r="K123" s="41" t="s">
        <v>552</v>
      </c>
      <c r="L123" s="41" t="s">
        <v>552</v>
      </c>
      <c r="M123" s="80">
        <v>4.7000000000000002E-3</v>
      </c>
      <c r="N123" s="80">
        <v>4.8999999999999998E-3</v>
      </c>
      <c r="O123" s="80">
        <v>6.0000000000000001E-3</v>
      </c>
      <c r="P123" s="80">
        <v>7.6E-3</v>
      </c>
      <c r="Q123" s="41"/>
      <c r="R123" s="41"/>
      <c r="S123" s="79"/>
      <c r="T123" s="2"/>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spans="1:50" ht="18" customHeight="1" x14ac:dyDescent="0.3">
      <c r="A124" s="1"/>
      <c r="B124" s="33" t="s">
        <v>557</v>
      </c>
      <c r="C124" s="41" t="s">
        <v>552</v>
      </c>
      <c r="D124" s="41" t="s">
        <v>552</v>
      </c>
      <c r="E124" s="41" t="s">
        <v>552</v>
      </c>
      <c r="F124" s="41" t="s">
        <v>552</v>
      </c>
      <c r="G124" s="41" t="s">
        <v>552</v>
      </c>
      <c r="H124" s="41" t="s">
        <v>552</v>
      </c>
      <c r="I124" s="41" t="s">
        <v>552</v>
      </c>
      <c r="J124" s="41" t="s">
        <v>552</v>
      </c>
      <c r="K124" s="41" t="s">
        <v>552</v>
      </c>
      <c r="L124" s="41" t="s">
        <v>552</v>
      </c>
      <c r="M124" s="80">
        <v>6.9000000000000006E-2</v>
      </c>
      <c r="N124" s="80">
        <v>6.9000000000000006E-2</v>
      </c>
      <c r="O124" s="80">
        <v>6.9000000000000006E-2</v>
      </c>
      <c r="P124" s="80">
        <v>6.9000000000000006E-2</v>
      </c>
      <c r="Q124" s="41"/>
      <c r="R124" s="41"/>
      <c r="S124" s="79"/>
      <c r="T124" s="2"/>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spans="1:50" ht="18" customHeight="1" x14ac:dyDescent="0.3">
      <c r="A125" s="1"/>
      <c r="B125" s="33" t="s">
        <v>956</v>
      </c>
      <c r="C125" s="41" t="s">
        <v>552</v>
      </c>
      <c r="D125" s="41" t="s">
        <v>552</v>
      </c>
      <c r="E125" s="41" t="s">
        <v>552</v>
      </c>
      <c r="F125" s="41" t="s">
        <v>552</v>
      </c>
      <c r="G125" s="41" t="s">
        <v>552</v>
      </c>
      <c r="H125" s="41" t="s">
        <v>552</v>
      </c>
      <c r="I125" s="41" t="s">
        <v>552</v>
      </c>
      <c r="J125" s="41" t="s">
        <v>552</v>
      </c>
      <c r="K125" s="41" t="s">
        <v>552</v>
      </c>
      <c r="L125" s="41" t="s">
        <v>552</v>
      </c>
      <c r="M125" s="148">
        <v>1.85</v>
      </c>
      <c r="N125" s="148">
        <v>1.85</v>
      </c>
      <c r="O125" s="148">
        <v>1.85</v>
      </c>
      <c r="P125" s="148">
        <v>1.85</v>
      </c>
      <c r="Q125" s="41"/>
      <c r="R125" s="41"/>
      <c r="S125" s="79"/>
      <c r="T125" s="2"/>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spans="1:50" ht="18" customHeight="1" x14ac:dyDescent="0.3">
      <c r="A126" s="1"/>
      <c r="B126" s="33" t="s">
        <v>957</v>
      </c>
      <c r="C126" s="41" t="s">
        <v>552</v>
      </c>
      <c r="D126" s="41" t="s">
        <v>552</v>
      </c>
      <c r="E126" s="41" t="s">
        <v>552</v>
      </c>
      <c r="F126" s="41" t="s">
        <v>552</v>
      </c>
      <c r="G126" s="41" t="s">
        <v>552</v>
      </c>
      <c r="H126" s="41" t="s">
        <v>552</v>
      </c>
      <c r="I126" s="41" t="s">
        <v>552</v>
      </c>
      <c r="J126" s="41" t="s">
        <v>552</v>
      </c>
      <c r="K126" s="41" t="s">
        <v>552</v>
      </c>
      <c r="L126" s="41" t="s">
        <v>552</v>
      </c>
      <c r="M126" s="80">
        <f>M122-M123+(M125*M124)</f>
        <v>0.26295000000000002</v>
      </c>
      <c r="N126" s="80">
        <f t="shared" ref="N126:P126" si="66">N122-N123+(N125*N124)</f>
        <v>0.26075000000000004</v>
      </c>
      <c r="O126" s="80">
        <f t="shared" si="66"/>
        <v>0.26095000000000002</v>
      </c>
      <c r="P126" s="80">
        <f t="shared" si="66"/>
        <v>0.26105</v>
      </c>
      <c r="Q126" s="41"/>
      <c r="R126" s="41"/>
      <c r="S126" s="79"/>
      <c r="T126" s="2"/>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spans="1:50" ht="18" customHeight="1" x14ac:dyDescent="0.3">
      <c r="A127" s="1"/>
      <c r="B127" s="33" t="s">
        <v>958</v>
      </c>
      <c r="C127" s="41"/>
      <c r="D127" s="41"/>
      <c r="E127" s="41"/>
      <c r="F127" s="41" t="s">
        <v>552</v>
      </c>
      <c r="G127" s="41" t="s">
        <v>552</v>
      </c>
      <c r="H127" s="41" t="s">
        <v>552</v>
      </c>
      <c r="I127" s="41" t="s">
        <v>552</v>
      </c>
      <c r="J127" s="41" t="s">
        <v>552</v>
      </c>
      <c r="K127" s="41" t="s">
        <v>552</v>
      </c>
      <c r="L127" s="41" t="s">
        <v>552</v>
      </c>
      <c r="M127" s="80">
        <f>(M122+0.4%)*(1-34%)</f>
        <v>9.5039999999999999E-2</v>
      </c>
      <c r="N127" s="80">
        <f>(N122+0.8%)*(1-34%)</f>
        <v>9.6360000000000001E-2</v>
      </c>
      <c r="O127" s="80">
        <f>(O122+1.2%)*(1-34%)</f>
        <v>9.9858000000000002E-2</v>
      </c>
      <c r="P127" s="80">
        <f>(P122+1.6%)*(1-34%)</f>
        <v>0.10361999999999998</v>
      </c>
      <c r="Q127" s="41"/>
      <c r="R127" s="41"/>
      <c r="S127" s="79"/>
      <c r="T127" s="2"/>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spans="1:50" ht="16.5" customHeight="1" x14ac:dyDescent="0.3">
      <c r="A128" s="1"/>
      <c r="B128" s="21" t="s">
        <v>556</v>
      </c>
      <c r="C128" s="41" t="s">
        <v>552</v>
      </c>
      <c r="D128" s="41" t="s">
        <v>552</v>
      </c>
      <c r="E128" s="41" t="s">
        <v>552</v>
      </c>
      <c r="F128" s="41" t="s">
        <v>552</v>
      </c>
      <c r="G128" s="41" t="s">
        <v>552</v>
      </c>
      <c r="H128" s="41" t="s">
        <v>552</v>
      </c>
      <c r="I128" s="41" t="s">
        <v>552</v>
      </c>
      <c r="J128" s="41" t="s">
        <v>552</v>
      </c>
      <c r="K128" s="41" t="s">
        <v>552</v>
      </c>
      <c r="L128" s="41" t="s">
        <v>552</v>
      </c>
      <c r="M128" s="150">
        <f>M118/(1+M120)</f>
        <v>354587.51928116934</v>
      </c>
      <c r="N128" s="150">
        <f>N118/(1+N120)^2</f>
        <v>469122.9503562749</v>
      </c>
      <c r="O128" s="150">
        <f>O118/(1+O120)^3</f>
        <v>423448.20626281545</v>
      </c>
      <c r="P128" s="150">
        <f>P118/(1+P120)^4</f>
        <v>381807.66382552998</v>
      </c>
      <c r="Q128" s="150">
        <f>Q118/(1+P120)^4</f>
        <v>4234152.4489641376</v>
      </c>
      <c r="R128" s="41"/>
      <c r="S128" s="79"/>
      <c r="T128" s="2"/>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spans="1:50" ht="18" customHeight="1" x14ac:dyDescent="0.3">
      <c r="A129" s="1"/>
      <c r="B129" s="21"/>
      <c r="C129" s="24"/>
      <c r="D129" s="24"/>
      <c r="E129" s="24"/>
      <c r="F129" s="24"/>
      <c r="G129" s="24"/>
      <c r="H129" s="24"/>
      <c r="I129" s="24"/>
      <c r="J129" s="24"/>
      <c r="K129" s="24"/>
      <c r="L129" s="24"/>
      <c r="M129" s="24"/>
      <c r="N129" s="24"/>
      <c r="O129" s="24"/>
      <c r="P129" s="24"/>
      <c r="Q129" s="24"/>
      <c r="R129" s="24"/>
      <c r="S129" s="79"/>
      <c r="T129" s="2"/>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spans="1:50" ht="18" customHeight="1" collapsed="1" x14ac:dyDescent="0.3">
      <c r="A130" s="1"/>
      <c r="B130" s="21"/>
      <c r="C130" s="11"/>
      <c r="D130" s="11"/>
      <c r="E130" s="11"/>
      <c r="F130" s="11"/>
      <c r="G130" s="38"/>
      <c r="H130" s="11"/>
      <c r="I130" s="11"/>
      <c r="J130" s="38"/>
      <c r="K130" s="38"/>
      <c r="L130" s="38"/>
      <c r="M130" s="38"/>
      <c r="N130" s="38"/>
      <c r="O130" s="38"/>
      <c r="P130" s="38"/>
      <c r="Q130" s="38"/>
      <c r="R130" s="38"/>
      <c r="S130" s="79"/>
      <c r="T130" s="2"/>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spans="1:50" ht="18" customHeight="1" x14ac:dyDescent="0.3">
      <c r="A131" s="1"/>
      <c r="B131" s="21"/>
      <c r="C131" s="11"/>
      <c r="D131" s="11"/>
      <c r="E131" s="11"/>
      <c r="F131" s="11"/>
      <c r="G131" s="38"/>
      <c r="H131" s="11"/>
      <c r="I131" s="11"/>
      <c r="J131" s="38"/>
      <c r="K131" s="38"/>
      <c r="L131" s="38"/>
      <c r="M131" s="38"/>
      <c r="N131" s="38"/>
      <c r="O131" s="38"/>
      <c r="P131" s="38"/>
      <c r="Q131" s="38"/>
      <c r="R131" s="38"/>
      <c r="S131" s="79"/>
      <c r="T131" s="2"/>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spans="1:50" ht="18" customHeight="1" x14ac:dyDescent="0.3">
      <c r="A132" s="1"/>
      <c r="B132" s="21"/>
      <c r="C132" s="11"/>
      <c r="D132" s="11"/>
      <c r="E132" s="11"/>
      <c r="F132" s="11"/>
      <c r="G132" s="38"/>
      <c r="H132" s="11"/>
      <c r="I132" s="11"/>
      <c r="J132" s="38"/>
      <c r="K132" s="38"/>
      <c r="L132" s="38"/>
      <c r="M132" s="38"/>
      <c r="N132" s="38"/>
      <c r="O132" s="38"/>
      <c r="P132" s="38"/>
      <c r="Q132" s="38"/>
      <c r="R132" s="38"/>
      <c r="S132" s="79"/>
      <c r="T132" s="2"/>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spans="1:50" ht="18" customHeight="1" x14ac:dyDescent="0.3">
      <c r="A133" s="1"/>
      <c r="B133" s="21"/>
      <c r="C133" s="11"/>
      <c r="D133" s="11"/>
      <c r="E133" s="11"/>
      <c r="F133" s="11"/>
      <c r="G133" s="11"/>
      <c r="H133" s="11"/>
      <c r="I133" s="11"/>
      <c r="J133" s="150"/>
      <c r="K133" s="11"/>
      <c r="L133" s="11"/>
      <c r="M133" s="11"/>
      <c r="N133" s="11"/>
      <c r="O133" s="11"/>
      <c r="P133" s="11"/>
      <c r="Q133" s="11"/>
      <c r="R133" s="11"/>
      <c r="S133" s="79"/>
      <c r="T133" s="2"/>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spans="1:50" ht="18" customHeight="1" x14ac:dyDescent="0.3">
      <c r="A134" s="1"/>
      <c r="B134" s="21"/>
      <c r="C134" s="11"/>
      <c r="D134" s="11"/>
      <c r="E134" s="11"/>
      <c r="F134" s="11"/>
      <c r="G134" s="11"/>
      <c r="H134" s="11"/>
      <c r="I134" s="11"/>
      <c r="J134" s="2"/>
      <c r="K134" s="2"/>
      <c r="L134" s="2"/>
      <c r="M134" s="2"/>
      <c r="N134" s="2"/>
      <c r="O134" s="2"/>
      <c r="P134" s="2"/>
      <c r="Q134" s="2"/>
      <c r="R134" s="2"/>
      <c r="S134" s="79"/>
      <c r="T134" s="2"/>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spans="1:50" ht="18" customHeight="1" x14ac:dyDescent="0.3">
      <c r="A135" s="1"/>
      <c r="B135" s="21"/>
      <c r="C135" s="11"/>
      <c r="D135" s="11"/>
      <c r="E135" s="11"/>
      <c r="F135" s="11"/>
      <c r="G135" s="11"/>
      <c r="H135" s="11"/>
      <c r="I135" s="11"/>
      <c r="J135" s="2"/>
      <c r="K135" s="2"/>
      <c r="L135" s="2"/>
      <c r="M135" s="2"/>
      <c r="N135" s="2"/>
      <c r="O135" s="2"/>
      <c r="P135" s="2"/>
      <c r="Q135" s="2"/>
      <c r="R135" s="2"/>
      <c r="S135" s="79"/>
      <c r="T135" s="2"/>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spans="1:50" ht="18" customHeight="1" collapsed="1" x14ac:dyDescent="0.3">
      <c r="A136" s="1"/>
      <c r="B136" s="21"/>
      <c r="C136" s="11"/>
      <c r="D136" s="11"/>
      <c r="E136" s="11"/>
      <c r="F136" s="11"/>
      <c r="G136" s="11"/>
      <c r="H136" s="11"/>
      <c r="I136" s="11"/>
      <c r="J136" s="2"/>
      <c r="K136" s="2"/>
      <c r="L136" s="2"/>
      <c r="M136" s="2"/>
      <c r="N136" s="2"/>
      <c r="O136" s="2"/>
      <c r="P136" s="2"/>
      <c r="Q136" s="2"/>
      <c r="R136" s="2"/>
      <c r="S136" s="79"/>
      <c r="T136" s="2"/>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spans="1:50" ht="18" customHeight="1" x14ac:dyDescent="0.3">
      <c r="A137" s="1"/>
      <c r="B137" s="21"/>
      <c r="C137" s="11"/>
      <c r="D137" s="11"/>
      <c r="E137" s="11"/>
      <c r="F137" s="11"/>
      <c r="G137" s="11"/>
      <c r="H137" s="11"/>
      <c r="I137" s="11"/>
      <c r="J137" s="2"/>
      <c r="K137" s="2"/>
      <c r="L137" s="2"/>
      <c r="M137" s="2"/>
      <c r="N137" s="2"/>
      <c r="O137" s="2"/>
      <c r="P137" s="2"/>
      <c r="Q137" s="2"/>
      <c r="R137" s="2"/>
      <c r="S137" s="79"/>
      <c r="T137" s="2"/>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spans="1:50" ht="18" customHeight="1" x14ac:dyDescent="0.3">
      <c r="A138" s="1"/>
      <c r="B138" s="21"/>
      <c r="C138" s="11"/>
      <c r="D138" s="11"/>
      <c r="E138" s="11"/>
      <c r="F138" s="11"/>
      <c r="G138" s="11"/>
      <c r="H138" s="11"/>
      <c r="I138" s="11"/>
      <c r="J138" s="2"/>
      <c r="K138" s="2"/>
      <c r="L138" s="2"/>
      <c r="M138" s="2"/>
      <c r="N138" s="2"/>
      <c r="O138" s="2"/>
      <c r="P138" s="2"/>
      <c r="Q138" s="2"/>
      <c r="R138" s="2"/>
      <c r="S138" s="79"/>
      <c r="T138" s="2"/>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spans="1:50" ht="18" customHeight="1" x14ac:dyDescent="0.3">
      <c r="A139" s="1"/>
      <c r="B139" s="21"/>
      <c r="C139" s="11"/>
      <c r="D139" s="11"/>
      <c r="E139" s="11"/>
      <c r="F139" s="11"/>
      <c r="G139" s="11"/>
      <c r="H139" s="11"/>
      <c r="I139" s="11"/>
      <c r="J139" s="2"/>
      <c r="K139" s="2"/>
      <c r="L139" s="2"/>
      <c r="M139" s="2"/>
      <c r="N139" s="2"/>
      <c r="O139" s="2"/>
      <c r="P139" s="2"/>
      <c r="Q139" s="2"/>
      <c r="R139" s="2"/>
      <c r="S139" s="79"/>
      <c r="T139" s="2"/>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spans="1:50" ht="18" customHeight="1" x14ac:dyDescent="0.3">
      <c r="A140" s="1"/>
      <c r="B140" s="21"/>
      <c r="C140" s="11"/>
      <c r="D140" s="11"/>
      <c r="E140" s="11"/>
      <c r="F140" s="11"/>
      <c r="G140" s="11"/>
      <c r="H140" s="11"/>
      <c r="I140" s="11"/>
      <c r="J140" s="2"/>
      <c r="K140" s="2"/>
      <c r="L140" s="2"/>
      <c r="M140" s="2"/>
      <c r="N140" s="2"/>
      <c r="O140" s="2"/>
      <c r="P140" s="2"/>
      <c r="Q140" s="2"/>
      <c r="R140" s="2"/>
      <c r="S140" s="79"/>
      <c r="T140" s="2"/>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spans="1:50" ht="18" customHeight="1" collapsed="1" x14ac:dyDescent="0.3">
      <c r="A141" s="1"/>
      <c r="B141" s="21"/>
      <c r="C141" s="11"/>
      <c r="D141" s="11"/>
      <c r="E141" s="11"/>
      <c r="F141" s="11"/>
      <c r="G141" s="11"/>
      <c r="H141" s="11"/>
      <c r="I141" s="11"/>
      <c r="J141" s="2"/>
      <c r="K141" s="2"/>
      <c r="L141" s="2"/>
      <c r="M141" s="2"/>
      <c r="N141" s="2"/>
      <c r="O141" s="2"/>
      <c r="P141" s="2"/>
      <c r="Q141" s="2"/>
      <c r="R141" s="2"/>
      <c r="S141" s="79"/>
      <c r="T141" s="2"/>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spans="1:50" ht="18" customHeight="1" x14ac:dyDescent="0.3">
      <c r="A142" s="1"/>
      <c r="B142" s="21"/>
      <c r="C142" s="11"/>
      <c r="D142" s="11"/>
      <c r="E142" s="11"/>
      <c r="F142" s="11"/>
      <c r="G142" s="11"/>
      <c r="H142" s="11"/>
      <c r="I142" s="11"/>
      <c r="J142" s="2"/>
      <c r="K142" s="2"/>
      <c r="L142" s="2"/>
      <c r="M142" s="2"/>
      <c r="N142" s="2"/>
      <c r="O142" s="2"/>
      <c r="P142" s="2"/>
      <c r="Q142" s="2"/>
      <c r="R142" s="2"/>
      <c r="S142" s="79"/>
      <c r="T142" s="2"/>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spans="1:50" ht="18" customHeight="1" x14ac:dyDescent="0.3">
      <c r="A143" s="1"/>
      <c r="B143" s="21"/>
      <c r="C143" s="11"/>
      <c r="D143" s="11"/>
      <c r="E143" s="11"/>
      <c r="F143" s="11"/>
      <c r="G143" s="11"/>
      <c r="H143" s="11"/>
      <c r="I143" s="11"/>
      <c r="J143" s="2"/>
      <c r="K143" s="2"/>
      <c r="L143" s="2"/>
      <c r="M143" s="2"/>
      <c r="N143" s="2"/>
      <c r="O143" s="2"/>
      <c r="P143" s="2"/>
      <c r="Q143" s="2"/>
      <c r="R143" s="2"/>
      <c r="S143" s="79"/>
      <c r="T143" s="2"/>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spans="1:50" ht="18" customHeight="1" x14ac:dyDescent="0.3">
      <c r="A144" s="1"/>
      <c r="B144" s="21"/>
      <c r="C144" s="11"/>
      <c r="D144" s="11"/>
      <c r="E144" s="11"/>
      <c r="F144" s="11"/>
      <c r="G144" s="11"/>
      <c r="H144" s="11"/>
      <c r="I144" s="11"/>
      <c r="J144" s="2"/>
      <c r="K144" s="2"/>
      <c r="L144" s="2"/>
      <c r="M144" s="2"/>
      <c r="N144" s="2"/>
      <c r="O144" s="2"/>
      <c r="P144" s="2"/>
      <c r="Q144" s="2"/>
      <c r="R144" s="2"/>
      <c r="S144" s="79"/>
      <c r="T144" s="2"/>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spans="1:50" ht="18" customHeight="1" x14ac:dyDescent="0.3">
      <c r="A145" s="1"/>
      <c r="B145" s="21"/>
      <c r="C145" s="11"/>
      <c r="D145" s="11"/>
      <c r="E145" s="11"/>
      <c r="F145" s="11"/>
      <c r="G145" s="11"/>
      <c r="H145" s="11"/>
      <c r="I145" s="11"/>
      <c r="J145" s="2"/>
      <c r="K145" s="2"/>
      <c r="L145" s="2"/>
      <c r="M145" s="2"/>
      <c r="N145" s="2"/>
      <c r="O145" s="2"/>
      <c r="P145" s="2"/>
      <c r="Q145" s="2"/>
      <c r="R145" s="2"/>
      <c r="S145" s="79"/>
      <c r="T145" s="2"/>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spans="1:50" ht="18" customHeight="1" x14ac:dyDescent="0.3">
      <c r="A146" s="1"/>
      <c r="B146" s="21"/>
      <c r="C146" s="11"/>
      <c r="D146" s="11"/>
      <c r="E146" s="11"/>
      <c r="F146" s="11"/>
      <c r="G146" s="11"/>
      <c r="H146" s="11"/>
      <c r="I146" s="11"/>
      <c r="J146" s="2"/>
      <c r="K146" s="2"/>
      <c r="L146" s="2"/>
      <c r="M146" s="2"/>
      <c r="N146" s="2"/>
      <c r="O146" s="2"/>
      <c r="P146" s="2"/>
      <c r="Q146" s="2"/>
      <c r="R146" s="2"/>
      <c r="S146" s="79"/>
      <c r="T146" s="2"/>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spans="1:50" ht="18" customHeight="1" x14ac:dyDescent="0.3">
      <c r="A147" s="1"/>
      <c r="B147" s="21"/>
      <c r="C147" s="11"/>
      <c r="D147" s="11"/>
      <c r="E147" s="11"/>
      <c r="F147" s="11"/>
      <c r="G147" s="11"/>
      <c r="H147" s="11"/>
      <c r="I147" s="11"/>
      <c r="J147" s="2"/>
      <c r="K147" s="2"/>
      <c r="L147" s="2"/>
      <c r="M147" s="2"/>
      <c r="N147" s="2"/>
      <c r="O147" s="2"/>
      <c r="P147" s="2"/>
      <c r="Q147" s="2"/>
      <c r="R147" s="2"/>
      <c r="S147" s="79"/>
      <c r="T147" s="2"/>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spans="1:50" ht="18" customHeight="1" x14ac:dyDescent="0.3">
      <c r="A148" s="1"/>
      <c r="B148" s="21"/>
      <c r="C148" s="11"/>
      <c r="D148" s="11"/>
      <c r="E148" s="11"/>
      <c r="F148" s="11"/>
      <c r="G148" s="11"/>
      <c r="H148" s="11"/>
      <c r="I148" s="11"/>
      <c r="J148" s="2"/>
      <c r="K148" s="2"/>
      <c r="L148" s="2"/>
      <c r="M148" s="2"/>
      <c r="N148" s="2"/>
      <c r="O148" s="2"/>
      <c r="P148" s="2"/>
      <c r="Q148" s="2"/>
      <c r="R148" s="2"/>
      <c r="S148" s="79"/>
      <c r="T148" s="2"/>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spans="1:50" ht="18" customHeight="1" x14ac:dyDescent="0.3">
      <c r="A149" s="1"/>
      <c r="B149" s="21"/>
      <c r="C149" s="11"/>
      <c r="D149" s="11"/>
      <c r="E149" s="11"/>
      <c r="F149" s="11"/>
      <c r="G149" s="11"/>
      <c r="H149" s="11"/>
      <c r="I149" s="11"/>
      <c r="J149" s="2"/>
      <c r="K149" s="2"/>
      <c r="L149" s="2"/>
      <c r="M149" s="2"/>
      <c r="N149" s="2"/>
      <c r="O149" s="2"/>
      <c r="P149" s="2"/>
      <c r="Q149" s="2"/>
      <c r="R149" s="2"/>
      <c r="S149" s="79"/>
      <c r="T149" s="2"/>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spans="1:50" ht="18" customHeight="1" collapsed="1" x14ac:dyDescent="0.3">
      <c r="A150" s="1"/>
      <c r="B150" s="21"/>
      <c r="C150" s="11"/>
      <c r="D150" s="11"/>
      <c r="E150" s="11"/>
      <c r="F150" s="11"/>
      <c r="G150" s="11"/>
      <c r="H150" s="11"/>
      <c r="I150" s="11"/>
      <c r="J150" s="2"/>
      <c r="K150" s="2"/>
      <c r="L150" s="2"/>
      <c r="M150" s="2"/>
      <c r="N150" s="2"/>
      <c r="O150" s="2"/>
      <c r="P150" s="2"/>
      <c r="Q150" s="2"/>
      <c r="R150" s="2"/>
      <c r="S150" s="79"/>
      <c r="T150" s="2"/>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spans="1:50" ht="18" customHeight="1" x14ac:dyDescent="0.3">
      <c r="A151" s="1"/>
      <c r="B151" s="21"/>
      <c r="C151" s="11"/>
      <c r="D151" s="11"/>
      <c r="E151" s="11"/>
      <c r="F151" s="11"/>
      <c r="G151" s="11"/>
      <c r="H151" s="11"/>
      <c r="I151" s="11"/>
      <c r="J151" s="2"/>
      <c r="K151" s="2"/>
      <c r="L151" s="2"/>
      <c r="M151" s="2"/>
      <c r="N151" s="2"/>
      <c r="O151" s="2"/>
      <c r="P151" s="2"/>
      <c r="Q151" s="2"/>
      <c r="R151" s="2"/>
      <c r="S151" s="79"/>
      <c r="T151" s="2"/>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spans="1:50" ht="18" customHeight="1" x14ac:dyDescent="0.3">
      <c r="A152" s="1"/>
      <c r="B152" s="21"/>
      <c r="C152" s="11"/>
      <c r="D152" s="11"/>
      <c r="E152" s="11"/>
      <c r="F152" s="11"/>
      <c r="G152" s="11"/>
      <c r="H152" s="11"/>
      <c r="I152" s="11"/>
      <c r="J152" s="2"/>
      <c r="K152" s="2"/>
      <c r="L152" s="2"/>
      <c r="M152" s="2"/>
      <c r="N152" s="2"/>
      <c r="O152" s="2"/>
      <c r="P152" s="2"/>
      <c r="Q152" s="2"/>
      <c r="R152" s="2"/>
      <c r="S152" s="79"/>
      <c r="T152" s="2"/>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spans="1:50" ht="18" customHeight="1" collapsed="1" x14ac:dyDescent="0.3">
      <c r="A153" s="1"/>
      <c r="B153" s="21"/>
      <c r="C153" s="2"/>
      <c r="D153" s="2"/>
      <c r="E153" s="2"/>
      <c r="F153" s="2"/>
      <c r="G153" s="2"/>
      <c r="H153" s="2"/>
      <c r="I153" s="2"/>
      <c r="J153" s="2"/>
      <c r="K153" s="2"/>
      <c r="L153" s="2"/>
      <c r="M153" s="2"/>
      <c r="N153" s="2"/>
      <c r="O153" s="2"/>
      <c r="P153" s="2"/>
      <c r="Q153" s="2"/>
      <c r="R153" s="2"/>
      <c r="S153" s="79"/>
      <c r="T153" s="2"/>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spans="1:50" ht="18" customHeight="1" x14ac:dyDescent="0.3">
      <c r="A154" s="1"/>
      <c r="B154" s="21"/>
      <c r="C154" s="18"/>
      <c r="D154" s="18"/>
      <c r="E154" s="18"/>
      <c r="F154" s="18"/>
      <c r="G154" s="18"/>
      <c r="H154" s="18"/>
      <c r="I154" s="18"/>
      <c r="J154" s="2"/>
      <c r="K154" s="2"/>
      <c r="L154" s="2"/>
      <c r="M154" s="2"/>
      <c r="N154" s="2"/>
      <c r="O154" s="2"/>
      <c r="P154" s="2"/>
      <c r="Q154" s="2"/>
      <c r="R154" s="2"/>
      <c r="S154" s="79"/>
      <c r="T154" s="2"/>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spans="1:50" ht="18" customHeight="1" x14ac:dyDescent="0.3">
      <c r="A155" s="1"/>
      <c r="B155" s="21"/>
      <c r="C155" s="11"/>
      <c r="D155" s="11"/>
      <c r="E155" s="11"/>
      <c r="F155" s="11"/>
      <c r="G155" s="11"/>
      <c r="H155" s="11"/>
      <c r="I155" s="11"/>
      <c r="J155" s="2"/>
      <c r="K155" s="2"/>
      <c r="L155" s="2"/>
      <c r="M155" s="2"/>
      <c r="N155" s="2"/>
      <c r="O155" s="2"/>
      <c r="P155" s="2"/>
      <c r="Q155" s="2"/>
      <c r="R155" s="2"/>
      <c r="S155" s="79"/>
      <c r="T155" s="2"/>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spans="1:50" ht="18" customHeight="1" x14ac:dyDescent="0.3">
      <c r="A156" s="1"/>
      <c r="B156" s="21"/>
      <c r="C156" s="11"/>
      <c r="D156" s="11"/>
      <c r="E156" s="11"/>
      <c r="F156" s="11"/>
      <c r="G156" s="11"/>
      <c r="H156" s="11"/>
      <c r="I156" s="11"/>
      <c r="J156" s="2"/>
      <c r="K156" s="2"/>
      <c r="L156" s="2"/>
      <c r="M156" s="2"/>
      <c r="N156" s="2"/>
      <c r="O156" s="2"/>
      <c r="P156" s="2"/>
      <c r="Q156" s="2"/>
      <c r="R156" s="2"/>
      <c r="S156" s="79"/>
      <c r="T156" s="2"/>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spans="1:50" ht="18" customHeight="1" x14ac:dyDescent="0.3">
      <c r="A157" s="1"/>
      <c r="B157" s="21"/>
      <c r="C157" s="11"/>
      <c r="D157" s="11"/>
      <c r="E157" s="11"/>
      <c r="F157" s="11"/>
      <c r="G157" s="11"/>
      <c r="H157" s="11"/>
      <c r="I157" s="11"/>
      <c r="J157" s="2"/>
      <c r="K157" s="2"/>
      <c r="L157" s="2"/>
      <c r="M157" s="2"/>
      <c r="N157" s="2"/>
      <c r="O157" s="2"/>
      <c r="P157" s="2"/>
      <c r="Q157" s="2"/>
      <c r="R157" s="2"/>
      <c r="S157" s="79"/>
      <c r="T157" s="2"/>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spans="1:50" ht="18" customHeight="1" collapsed="1" x14ac:dyDescent="0.3">
      <c r="A158" s="1"/>
      <c r="B158" s="21"/>
      <c r="C158" s="11"/>
      <c r="D158" s="11"/>
      <c r="E158" s="11"/>
      <c r="F158" s="11"/>
      <c r="G158" s="11"/>
      <c r="H158" s="11"/>
      <c r="I158" s="11"/>
      <c r="J158" s="2"/>
      <c r="K158" s="2"/>
      <c r="L158" s="2"/>
      <c r="M158" s="2"/>
      <c r="N158" s="2"/>
      <c r="O158" s="2"/>
      <c r="P158" s="2"/>
      <c r="Q158" s="2"/>
      <c r="R158" s="2"/>
      <c r="S158" s="79"/>
      <c r="T158" s="2"/>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spans="1:50" ht="18" customHeight="1" x14ac:dyDescent="0.3">
      <c r="A159" s="1"/>
      <c r="B159" s="21"/>
      <c r="C159" s="15"/>
      <c r="D159" s="15"/>
      <c r="E159" s="15"/>
      <c r="F159" s="15"/>
      <c r="G159" s="15"/>
      <c r="H159" s="15"/>
      <c r="I159" s="15"/>
      <c r="J159" s="2"/>
      <c r="K159" s="2"/>
      <c r="L159" s="2"/>
      <c r="M159" s="2"/>
      <c r="N159" s="2"/>
      <c r="O159" s="2"/>
      <c r="P159" s="2"/>
      <c r="Q159" s="2"/>
      <c r="R159" s="2"/>
      <c r="S159" s="79"/>
      <c r="T159" s="2"/>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spans="1:50" ht="18" customHeight="1" x14ac:dyDescent="0.3">
      <c r="A160" s="1"/>
      <c r="B160" s="21"/>
      <c r="C160" s="11"/>
      <c r="D160" s="11"/>
      <c r="E160" s="11"/>
      <c r="F160" s="11"/>
      <c r="G160" s="11"/>
      <c r="H160" s="11"/>
      <c r="I160" s="11"/>
      <c r="J160" s="2"/>
      <c r="K160" s="2"/>
      <c r="L160" s="2"/>
      <c r="M160" s="2"/>
      <c r="N160" s="2"/>
      <c r="O160" s="2"/>
      <c r="P160" s="2"/>
      <c r="Q160" s="2"/>
      <c r="R160" s="2"/>
      <c r="S160" s="79"/>
      <c r="T160" s="2"/>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spans="1:50" ht="18" customHeight="1" x14ac:dyDescent="0.3">
      <c r="A161" s="1"/>
      <c r="B161" s="21"/>
      <c r="C161" s="11"/>
      <c r="D161" s="11"/>
      <c r="E161" s="11"/>
      <c r="F161" s="11"/>
      <c r="G161" s="11"/>
      <c r="H161" s="11"/>
      <c r="I161" s="11"/>
      <c r="J161" s="2"/>
      <c r="K161" s="2"/>
      <c r="L161" s="2"/>
      <c r="M161" s="2"/>
      <c r="N161" s="2"/>
      <c r="O161" s="2"/>
      <c r="P161" s="2"/>
      <c r="Q161" s="2"/>
      <c r="R161" s="2"/>
      <c r="S161" s="79"/>
      <c r="T161" s="2"/>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spans="1:50" ht="18" customHeight="1" x14ac:dyDescent="0.3">
      <c r="A162" s="1"/>
      <c r="B162" s="21"/>
      <c r="C162" s="11"/>
      <c r="D162" s="11"/>
      <c r="E162" s="11"/>
      <c r="F162" s="11"/>
      <c r="G162" s="11"/>
      <c r="H162" s="11"/>
      <c r="I162" s="11"/>
      <c r="J162" s="2"/>
      <c r="K162" s="2"/>
      <c r="L162" s="2"/>
      <c r="M162" s="2"/>
      <c r="N162" s="2"/>
      <c r="O162" s="2"/>
      <c r="P162" s="2"/>
      <c r="Q162" s="2"/>
      <c r="R162" s="2"/>
      <c r="S162" s="79"/>
      <c r="T162" s="2"/>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spans="1:50" ht="18" customHeight="1" collapsed="1" x14ac:dyDescent="0.3">
      <c r="A163" s="1"/>
      <c r="B163" s="21"/>
      <c r="C163" s="11"/>
      <c r="D163" s="11"/>
      <c r="E163" s="11"/>
      <c r="F163" s="11"/>
      <c r="G163" s="11"/>
      <c r="H163" s="11"/>
      <c r="I163" s="11"/>
      <c r="J163" s="2"/>
      <c r="K163" s="2"/>
      <c r="L163" s="2"/>
      <c r="M163" s="2"/>
      <c r="N163" s="2"/>
      <c r="O163" s="2"/>
      <c r="P163" s="2"/>
      <c r="Q163" s="2"/>
      <c r="R163" s="2"/>
      <c r="S163" s="79"/>
      <c r="T163" s="2"/>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spans="1:50" ht="18" customHeight="1" x14ac:dyDescent="0.3">
      <c r="A164" s="1"/>
      <c r="B164" s="21"/>
      <c r="C164" s="11"/>
      <c r="D164" s="11"/>
      <c r="E164" s="11"/>
      <c r="F164" s="11"/>
      <c r="G164" s="11"/>
      <c r="H164" s="11"/>
      <c r="I164" s="11"/>
      <c r="J164" s="2"/>
      <c r="K164" s="2"/>
      <c r="L164" s="2"/>
      <c r="M164" s="2"/>
      <c r="N164" s="2"/>
      <c r="O164" s="2"/>
      <c r="P164" s="2"/>
      <c r="Q164" s="2"/>
      <c r="R164" s="2"/>
      <c r="S164" s="79"/>
      <c r="T164" s="2"/>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spans="1:50" ht="18" customHeight="1" x14ac:dyDescent="0.3">
      <c r="A165" s="1"/>
      <c r="B165" s="21"/>
      <c r="C165" s="11"/>
      <c r="D165" s="11"/>
      <c r="E165" s="11"/>
      <c r="F165" s="11"/>
      <c r="G165" s="11"/>
      <c r="H165" s="11"/>
      <c r="I165" s="11"/>
      <c r="J165" s="2"/>
      <c r="K165" s="2"/>
      <c r="L165" s="2"/>
      <c r="M165" s="2"/>
      <c r="N165" s="2"/>
      <c r="O165" s="2"/>
      <c r="P165" s="2"/>
      <c r="Q165" s="2"/>
      <c r="R165" s="2"/>
      <c r="S165" s="79"/>
      <c r="T165" s="2"/>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spans="1:50" ht="18" customHeight="1" x14ac:dyDescent="0.3">
      <c r="A166" s="1"/>
      <c r="B166" s="21"/>
      <c r="C166" s="11"/>
      <c r="D166" s="11"/>
      <c r="E166" s="11"/>
      <c r="F166" s="11"/>
      <c r="G166" s="11"/>
      <c r="H166" s="11"/>
      <c r="I166" s="11"/>
      <c r="J166" s="2"/>
      <c r="K166" s="2"/>
      <c r="L166" s="2"/>
      <c r="M166" s="2"/>
      <c r="N166" s="2"/>
      <c r="O166" s="2"/>
      <c r="P166" s="2"/>
      <c r="Q166" s="2"/>
      <c r="R166" s="2"/>
      <c r="S166" s="79"/>
      <c r="T166" s="2"/>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spans="1:50" ht="18" customHeight="1" x14ac:dyDescent="0.3">
      <c r="A167" s="1"/>
      <c r="B167" s="21"/>
      <c r="C167" s="11"/>
      <c r="D167" s="11"/>
      <c r="E167" s="11"/>
      <c r="F167" s="11"/>
      <c r="G167" s="11"/>
      <c r="H167" s="11"/>
      <c r="I167" s="11"/>
      <c r="J167" s="2"/>
      <c r="K167" s="2"/>
      <c r="L167" s="2"/>
      <c r="M167" s="2"/>
      <c r="N167" s="2"/>
      <c r="O167" s="2"/>
      <c r="P167" s="2"/>
      <c r="Q167" s="2"/>
      <c r="R167" s="2"/>
      <c r="S167" s="79"/>
      <c r="T167" s="2"/>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spans="1:50" ht="18" customHeight="1" collapsed="1" x14ac:dyDescent="0.3">
      <c r="A168" s="1"/>
      <c r="B168" s="21"/>
      <c r="C168" s="2"/>
      <c r="D168" s="2"/>
      <c r="E168" s="2"/>
      <c r="F168" s="2"/>
      <c r="G168" s="2"/>
      <c r="H168" s="2"/>
      <c r="I168" s="2"/>
      <c r="J168" s="2"/>
      <c r="K168" s="2"/>
      <c r="L168" s="2"/>
      <c r="M168" s="2"/>
      <c r="N168" s="2"/>
      <c r="O168" s="2"/>
      <c r="P168" s="2"/>
      <c r="Q168" s="2"/>
      <c r="R168" s="2"/>
      <c r="S168" s="79"/>
      <c r="T168" s="2"/>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spans="1:50" ht="18" customHeight="1" x14ac:dyDescent="0.3">
      <c r="A169" s="1"/>
      <c r="B169" s="21"/>
      <c r="C169" s="18"/>
      <c r="D169" s="18"/>
      <c r="E169" s="18"/>
      <c r="F169" s="18"/>
      <c r="G169" s="18"/>
      <c r="H169" s="18"/>
      <c r="I169" s="18"/>
      <c r="J169" s="2"/>
      <c r="K169" s="2"/>
      <c r="L169" s="2"/>
      <c r="M169" s="2"/>
      <c r="N169" s="2"/>
      <c r="O169" s="2"/>
      <c r="P169" s="2"/>
      <c r="Q169" s="2"/>
      <c r="R169" s="2"/>
      <c r="S169" s="79"/>
      <c r="T169" s="2"/>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spans="1:50" ht="18" customHeight="1" x14ac:dyDescent="0.3">
      <c r="A170" s="1"/>
      <c r="B170" s="21"/>
      <c r="C170" s="11"/>
      <c r="D170" s="11"/>
      <c r="E170" s="11"/>
      <c r="F170" s="11"/>
      <c r="G170" s="11"/>
      <c r="H170" s="11"/>
      <c r="I170" s="11"/>
      <c r="J170" s="2"/>
      <c r="K170" s="2"/>
      <c r="L170" s="2"/>
      <c r="M170" s="2"/>
      <c r="N170" s="2"/>
      <c r="O170" s="2"/>
      <c r="P170" s="2"/>
      <c r="Q170" s="2"/>
      <c r="R170" s="2"/>
      <c r="S170" s="79"/>
      <c r="T170" s="2"/>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spans="1:50" ht="18" customHeight="1" x14ac:dyDescent="0.3">
      <c r="A171" s="1"/>
      <c r="B171" s="21"/>
      <c r="C171" s="11"/>
      <c r="D171" s="11"/>
      <c r="E171" s="11"/>
      <c r="F171" s="11"/>
      <c r="G171" s="11"/>
      <c r="H171" s="11"/>
      <c r="I171" s="11"/>
      <c r="J171" s="2"/>
      <c r="K171" s="2"/>
      <c r="L171" s="2"/>
      <c r="M171" s="2"/>
      <c r="N171" s="2"/>
      <c r="O171" s="2"/>
      <c r="P171" s="2"/>
      <c r="Q171" s="2"/>
      <c r="R171" s="2"/>
      <c r="S171" s="79"/>
      <c r="T171" s="2"/>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spans="1:50" ht="18" customHeight="1" x14ac:dyDescent="0.3">
      <c r="A172" s="1"/>
      <c r="B172" s="21"/>
      <c r="C172" s="15"/>
      <c r="D172" s="15"/>
      <c r="E172" s="15"/>
      <c r="F172" s="15"/>
      <c r="G172" s="15"/>
      <c r="H172" s="15"/>
      <c r="I172" s="15"/>
      <c r="J172" s="2"/>
      <c r="K172" s="2"/>
      <c r="L172" s="2"/>
      <c r="M172" s="2"/>
      <c r="N172" s="2"/>
      <c r="O172" s="2"/>
      <c r="P172" s="2"/>
      <c r="Q172" s="2"/>
      <c r="R172" s="2"/>
      <c r="S172" s="79"/>
      <c r="T172" s="2"/>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spans="1:50" ht="18" customHeight="1" x14ac:dyDescent="0.3">
      <c r="A173" s="1"/>
      <c r="B173" s="21"/>
      <c r="C173" s="11"/>
      <c r="D173" s="11"/>
      <c r="E173" s="11"/>
      <c r="F173" s="11"/>
      <c r="G173" s="11"/>
      <c r="H173" s="11"/>
      <c r="I173" s="11"/>
      <c r="J173" s="2"/>
      <c r="K173" s="2"/>
      <c r="L173" s="2"/>
      <c r="M173" s="2"/>
      <c r="N173" s="2"/>
      <c r="O173" s="2"/>
      <c r="P173" s="2"/>
      <c r="Q173" s="2"/>
      <c r="R173" s="2"/>
      <c r="S173" s="79"/>
      <c r="T173" s="2"/>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spans="1:50" ht="18" customHeight="1" x14ac:dyDescent="0.3">
      <c r="A174" s="1"/>
      <c r="B174" s="21"/>
      <c r="C174" s="11"/>
      <c r="D174" s="11"/>
      <c r="E174" s="11"/>
      <c r="F174" s="11"/>
      <c r="G174" s="11"/>
      <c r="H174" s="11"/>
      <c r="I174" s="11"/>
      <c r="J174" s="2"/>
      <c r="K174" s="2"/>
      <c r="L174" s="2"/>
      <c r="M174" s="2"/>
      <c r="N174" s="2"/>
      <c r="O174" s="2"/>
      <c r="P174" s="2"/>
      <c r="Q174" s="2"/>
      <c r="R174" s="2"/>
      <c r="S174" s="79"/>
      <c r="T174" s="2"/>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spans="1:50" ht="18" customHeight="1" collapsed="1" x14ac:dyDescent="0.3">
      <c r="A175" s="1"/>
      <c r="B175" s="21"/>
      <c r="C175" s="11"/>
      <c r="D175" s="11"/>
      <c r="E175" s="11"/>
      <c r="F175" s="11"/>
      <c r="G175" s="11"/>
      <c r="H175" s="11"/>
      <c r="I175" s="11"/>
      <c r="J175" s="2"/>
      <c r="K175" s="2"/>
      <c r="L175" s="2"/>
      <c r="M175" s="2"/>
      <c r="N175" s="2"/>
      <c r="O175" s="2"/>
      <c r="P175" s="2"/>
      <c r="Q175" s="2"/>
      <c r="R175" s="2"/>
      <c r="S175" s="79"/>
      <c r="T175" s="2"/>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spans="1:50" ht="18" customHeight="1" x14ac:dyDescent="0.3">
      <c r="A176" s="1"/>
      <c r="B176" s="21"/>
      <c r="C176" s="11"/>
      <c r="D176" s="11"/>
      <c r="E176" s="11"/>
      <c r="F176" s="11"/>
      <c r="G176" s="11"/>
      <c r="H176" s="11"/>
      <c r="I176" s="11"/>
      <c r="J176" s="2"/>
      <c r="K176" s="2"/>
      <c r="L176" s="2"/>
      <c r="M176" s="2"/>
      <c r="N176" s="2"/>
      <c r="O176" s="2"/>
      <c r="P176" s="2"/>
      <c r="Q176" s="2"/>
      <c r="R176" s="2"/>
      <c r="S176" s="79"/>
      <c r="T176" s="2"/>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spans="1:50" ht="18" customHeight="1" x14ac:dyDescent="0.3">
      <c r="A177" s="1"/>
      <c r="B177" s="21"/>
      <c r="C177" s="11"/>
      <c r="D177" s="11"/>
      <c r="E177" s="11"/>
      <c r="F177" s="11"/>
      <c r="G177" s="11"/>
      <c r="H177" s="11"/>
      <c r="I177" s="11"/>
      <c r="J177" s="2"/>
      <c r="K177" s="2"/>
      <c r="L177" s="2"/>
      <c r="M177" s="2"/>
      <c r="N177" s="2"/>
      <c r="O177" s="2"/>
      <c r="P177" s="2"/>
      <c r="Q177" s="2"/>
      <c r="R177" s="2"/>
      <c r="S177" s="79"/>
      <c r="T177" s="2"/>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spans="1:50" ht="18" customHeight="1" x14ac:dyDescent="0.3">
      <c r="A178" s="1"/>
      <c r="B178" s="21"/>
      <c r="C178" s="11"/>
      <c r="D178" s="11"/>
      <c r="E178" s="11"/>
      <c r="F178" s="11"/>
      <c r="G178" s="11"/>
      <c r="H178" s="11"/>
      <c r="I178" s="11"/>
      <c r="J178" s="2"/>
      <c r="K178" s="2"/>
      <c r="L178" s="2"/>
      <c r="M178" s="2"/>
      <c r="N178" s="2"/>
      <c r="O178" s="2"/>
      <c r="P178" s="2"/>
      <c r="Q178" s="2"/>
      <c r="R178" s="2"/>
      <c r="S178" s="79"/>
      <c r="T178" s="2"/>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spans="1:50" ht="18" customHeight="1" x14ac:dyDescent="0.3">
      <c r="A179" s="1"/>
      <c r="B179" s="21"/>
      <c r="C179" s="11"/>
      <c r="D179" s="11"/>
      <c r="E179" s="11"/>
      <c r="F179" s="11"/>
      <c r="G179" s="11"/>
      <c r="H179" s="11"/>
      <c r="I179" s="11"/>
      <c r="J179" s="2"/>
      <c r="K179" s="2"/>
      <c r="L179" s="2"/>
      <c r="M179" s="2"/>
      <c r="N179" s="2"/>
      <c r="O179" s="2"/>
      <c r="P179" s="2"/>
      <c r="Q179" s="2"/>
      <c r="R179" s="2"/>
      <c r="S179" s="79"/>
      <c r="T179" s="2"/>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spans="1:50" ht="18" customHeight="1" collapsed="1" x14ac:dyDescent="0.3">
      <c r="A180" s="1"/>
      <c r="B180" s="21"/>
      <c r="C180" s="15"/>
      <c r="D180" s="15"/>
      <c r="E180" s="15"/>
      <c r="F180" s="15"/>
      <c r="G180" s="15"/>
      <c r="H180" s="15"/>
      <c r="I180" s="15"/>
      <c r="J180" s="2"/>
      <c r="K180" s="2"/>
      <c r="L180" s="2"/>
      <c r="M180" s="2"/>
      <c r="N180" s="2"/>
      <c r="O180" s="2"/>
      <c r="P180" s="2"/>
      <c r="Q180" s="2"/>
      <c r="R180" s="2"/>
      <c r="S180" s="79"/>
      <c r="T180" s="2"/>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spans="1:50" ht="18" customHeight="1" x14ac:dyDescent="0.3">
      <c r="A181" s="1"/>
      <c r="B181" s="21"/>
      <c r="C181" s="15"/>
      <c r="D181" s="15"/>
      <c r="E181" s="15"/>
      <c r="F181" s="15"/>
      <c r="G181" s="15"/>
      <c r="H181" s="15"/>
      <c r="I181" s="15"/>
      <c r="J181" s="2"/>
      <c r="K181" s="2"/>
      <c r="L181" s="2"/>
      <c r="M181" s="2"/>
      <c r="N181" s="2"/>
      <c r="O181" s="2"/>
      <c r="P181" s="2"/>
      <c r="Q181" s="2"/>
      <c r="R181" s="2"/>
      <c r="S181" s="79"/>
      <c r="T181" s="2"/>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spans="1:50" ht="18" customHeight="1" x14ac:dyDescent="0.3">
      <c r="A182" s="1"/>
      <c r="B182" s="21"/>
      <c r="C182" s="15"/>
      <c r="D182" s="15"/>
      <c r="E182" s="15"/>
      <c r="F182" s="15"/>
      <c r="G182" s="15"/>
      <c r="H182" s="15"/>
      <c r="I182" s="15"/>
      <c r="J182" s="2"/>
      <c r="K182" s="2"/>
      <c r="L182" s="2"/>
      <c r="M182" s="2"/>
      <c r="N182" s="2"/>
      <c r="O182" s="2"/>
      <c r="P182" s="2"/>
      <c r="Q182" s="2"/>
      <c r="R182" s="2"/>
      <c r="S182" s="79"/>
      <c r="T182" s="2"/>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spans="1:50" ht="18" customHeight="1" x14ac:dyDescent="0.3">
      <c r="A183" s="1"/>
      <c r="B183" s="21"/>
      <c r="C183" s="11"/>
      <c r="D183" s="11"/>
      <c r="E183" s="11"/>
      <c r="F183" s="11"/>
      <c r="G183" s="11"/>
      <c r="H183" s="11"/>
      <c r="I183" s="11"/>
      <c r="J183" s="2"/>
      <c r="K183" s="2"/>
      <c r="L183" s="2"/>
      <c r="M183" s="2"/>
      <c r="N183" s="2"/>
      <c r="O183" s="2"/>
      <c r="P183" s="2"/>
      <c r="Q183" s="2"/>
      <c r="R183" s="2"/>
      <c r="S183" s="79"/>
      <c r="T183" s="2"/>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spans="1:50" x14ac:dyDescent="0.3">
      <c r="A184" s="1"/>
      <c r="B184" s="1"/>
      <c r="C184" s="2"/>
      <c r="D184" s="2"/>
      <c r="E184" s="2"/>
      <c r="F184" s="2"/>
      <c r="G184" s="2"/>
      <c r="H184" s="2"/>
      <c r="I184" s="2"/>
      <c r="J184" s="2"/>
      <c r="K184" s="2"/>
      <c r="L184" s="2"/>
      <c r="M184" s="2"/>
      <c r="N184" s="2"/>
      <c r="O184" s="2"/>
      <c r="P184" s="2"/>
      <c r="Q184" s="2"/>
      <c r="R184" s="2"/>
      <c r="S184" s="79"/>
      <c r="T184" s="2"/>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spans="1:50" x14ac:dyDescent="0.3">
      <c r="A185" s="1"/>
      <c r="B185" s="1"/>
      <c r="C185" s="2"/>
      <c r="D185" s="2"/>
      <c r="E185" s="2"/>
      <c r="F185" s="2"/>
      <c r="G185" s="2"/>
      <c r="H185" s="2"/>
      <c r="I185" s="2"/>
      <c r="J185" s="2"/>
      <c r="K185" s="2"/>
      <c r="L185" s="2"/>
      <c r="M185" s="2"/>
      <c r="N185" s="2"/>
      <c r="O185" s="2"/>
      <c r="P185" s="2"/>
      <c r="Q185" s="2"/>
      <c r="R185" s="2"/>
      <c r="S185" s="79"/>
      <c r="T185" s="2"/>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spans="1:50" x14ac:dyDescent="0.3">
      <c r="A186" s="1"/>
      <c r="B186" s="1"/>
      <c r="C186" s="2"/>
      <c r="D186" s="2"/>
      <c r="E186" s="2"/>
      <c r="F186" s="2"/>
      <c r="G186" s="2"/>
      <c r="H186" s="2"/>
      <c r="I186" s="2"/>
      <c r="J186" s="2"/>
      <c r="K186" s="2"/>
      <c r="L186" s="2"/>
      <c r="M186" s="2"/>
      <c r="N186" s="2"/>
      <c r="O186" s="2"/>
      <c r="P186" s="2"/>
      <c r="Q186" s="2"/>
      <c r="R186" s="2"/>
      <c r="S186" s="79"/>
      <c r="T186" s="2"/>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spans="1:50" x14ac:dyDescent="0.3">
      <c r="A187" s="1"/>
      <c r="B187" s="1"/>
      <c r="C187" s="2"/>
      <c r="D187" s="2"/>
      <c r="E187" s="2"/>
      <c r="F187" s="2"/>
      <c r="G187" s="2"/>
      <c r="H187" s="2"/>
      <c r="I187" s="2"/>
      <c r="J187" s="2"/>
      <c r="K187" s="2"/>
      <c r="L187" s="2"/>
      <c r="M187" s="2"/>
      <c r="N187" s="2"/>
      <c r="O187" s="2"/>
      <c r="P187" s="2"/>
      <c r="Q187" s="2"/>
      <c r="R187" s="2"/>
      <c r="S187" s="79"/>
      <c r="T187" s="2"/>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spans="1:50" x14ac:dyDescent="0.3">
      <c r="A188" s="1"/>
      <c r="B188" s="1"/>
      <c r="C188" s="2"/>
      <c r="D188" s="2"/>
      <c r="E188" s="2"/>
      <c r="F188" s="2"/>
      <c r="G188" s="2"/>
      <c r="H188" s="2"/>
      <c r="I188" s="2"/>
      <c r="J188" s="2"/>
      <c r="K188" s="2"/>
      <c r="L188" s="2"/>
      <c r="M188" s="2"/>
      <c r="N188" s="2"/>
      <c r="O188" s="2"/>
      <c r="P188" s="2"/>
      <c r="Q188" s="2"/>
      <c r="R188" s="2"/>
      <c r="S188" s="79"/>
      <c r="T188" s="2"/>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spans="1:50" x14ac:dyDescent="0.3">
      <c r="A189" s="1"/>
      <c r="B189" s="1"/>
      <c r="C189" s="2"/>
      <c r="D189" s="2"/>
      <c r="E189" s="2"/>
      <c r="F189" s="2"/>
      <c r="G189" s="2"/>
      <c r="H189" s="2"/>
      <c r="I189" s="2"/>
      <c r="J189" s="2"/>
      <c r="K189" s="2"/>
      <c r="L189" s="2"/>
      <c r="M189" s="2"/>
      <c r="N189" s="2"/>
      <c r="O189" s="2"/>
      <c r="P189" s="2"/>
      <c r="Q189" s="2"/>
      <c r="R189" s="2"/>
      <c r="S189" s="79"/>
      <c r="T189" s="2"/>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spans="1:50" x14ac:dyDescent="0.3">
      <c r="A190" s="1"/>
      <c r="B190" s="1"/>
      <c r="C190" s="2"/>
      <c r="D190" s="2"/>
      <c r="E190" s="2"/>
      <c r="F190" s="2"/>
      <c r="G190" s="2"/>
      <c r="H190" s="2"/>
      <c r="I190" s="2"/>
      <c r="J190" s="2"/>
      <c r="K190" s="2"/>
      <c r="L190" s="2"/>
      <c r="M190" s="2"/>
      <c r="N190" s="2"/>
      <c r="O190" s="2"/>
      <c r="P190" s="2"/>
      <c r="Q190" s="2"/>
      <c r="R190" s="2"/>
      <c r="S190" s="79"/>
      <c r="T190" s="2"/>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spans="1:50" x14ac:dyDescent="0.3">
      <c r="A191" s="1"/>
      <c r="B191" s="1"/>
      <c r="C191" s="2"/>
      <c r="D191" s="2"/>
      <c r="E191" s="2"/>
      <c r="F191" s="2"/>
      <c r="G191" s="2"/>
      <c r="H191" s="2"/>
      <c r="I191" s="2"/>
      <c r="J191" s="2"/>
      <c r="K191" s="2"/>
      <c r="L191" s="2"/>
      <c r="M191" s="2"/>
      <c r="N191" s="2"/>
      <c r="O191" s="2"/>
      <c r="P191" s="2"/>
      <c r="Q191" s="2"/>
      <c r="R191" s="2"/>
      <c r="S191" s="79"/>
      <c r="T191" s="2"/>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spans="1:50" x14ac:dyDescent="0.3">
      <c r="A192" s="1"/>
      <c r="B192" s="1"/>
      <c r="C192" s="2"/>
      <c r="D192" s="2"/>
      <c r="E192" s="2"/>
      <c r="F192" s="2"/>
      <c r="G192" s="2"/>
      <c r="H192" s="2"/>
      <c r="I192" s="2"/>
      <c r="J192" s="2"/>
      <c r="K192" s="2"/>
      <c r="L192" s="2"/>
      <c r="M192" s="2"/>
      <c r="N192" s="2"/>
      <c r="O192" s="2"/>
      <c r="P192" s="2"/>
      <c r="Q192" s="2"/>
      <c r="R192" s="2"/>
      <c r="S192" s="79"/>
      <c r="T192" s="2"/>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spans="1:50" x14ac:dyDescent="0.3">
      <c r="A193" s="1"/>
      <c r="B193" s="1"/>
      <c r="C193" s="2"/>
      <c r="D193" s="2"/>
      <c r="E193" s="2"/>
      <c r="F193" s="2"/>
      <c r="G193" s="2"/>
      <c r="H193" s="2"/>
      <c r="I193" s="2"/>
      <c r="J193" s="2"/>
      <c r="K193" s="2"/>
      <c r="L193" s="2"/>
      <c r="M193" s="2"/>
      <c r="N193" s="2"/>
      <c r="O193" s="2"/>
      <c r="P193" s="2"/>
      <c r="Q193" s="2"/>
      <c r="R193" s="2"/>
      <c r="S193" s="79"/>
      <c r="T193" s="2"/>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spans="1:50" x14ac:dyDescent="0.3">
      <c r="A194" s="1"/>
      <c r="B194" s="1"/>
      <c r="C194" s="2"/>
      <c r="D194" s="2"/>
      <c r="E194" s="2"/>
      <c r="F194" s="2"/>
      <c r="G194" s="2"/>
      <c r="H194" s="2"/>
      <c r="I194" s="2"/>
      <c r="J194" s="2"/>
      <c r="K194" s="2"/>
      <c r="L194" s="2"/>
      <c r="M194" s="2"/>
      <c r="N194" s="2"/>
      <c r="O194" s="2"/>
      <c r="P194" s="2"/>
      <c r="Q194" s="2"/>
      <c r="R194" s="2"/>
      <c r="S194" s="79"/>
      <c r="T194" s="2"/>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spans="1:50" x14ac:dyDescent="0.3">
      <c r="A195" s="1"/>
      <c r="B195" s="1"/>
      <c r="C195" s="2"/>
      <c r="D195" s="2"/>
      <c r="E195" s="2"/>
      <c r="F195" s="2"/>
      <c r="G195" s="2"/>
      <c r="H195" s="2"/>
      <c r="I195" s="2"/>
      <c r="J195" s="2"/>
      <c r="K195" s="2"/>
      <c r="L195" s="2"/>
      <c r="M195" s="2"/>
      <c r="N195" s="2"/>
      <c r="O195" s="2"/>
      <c r="P195" s="2"/>
      <c r="Q195" s="2"/>
      <c r="R195" s="2"/>
      <c r="S195" s="79"/>
      <c r="T195" s="2"/>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spans="1:50" x14ac:dyDescent="0.3">
      <c r="A196" s="1"/>
      <c r="B196" s="1"/>
      <c r="C196" s="2"/>
      <c r="D196" s="2"/>
      <c r="E196" s="2"/>
      <c r="F196" s="2"/>
      <c r="G196" s="2"/>
      <c r="H196" s="2"/>
      <c r="I196" s="2"/>
      <c r="J196" s="2"/>
      <c r="K196" s="2"/>
      <c r="L196" s="2"/>
      <c r="M196" s="2"/>
      <c r="N196" s="2"/>
      <c r="O196" s="2"/>
      <c r="P196" s="2"/>
      <c r="Q196" s="2"/>
      <c r="R196" s="2"/>
      <c r="S196" s="79"/>
      <c r="T196" s="2"/>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spans="1:50" x14ac:dyDescent="0.3">
      <c r="A197" s="1"/>
      <c r="B197" s="1"/>
      <c r="C197" s="2"/>
      <c r="D197" s="2"/>
      <c r="E197" s="2"/>
      <c r="F197" s="2"/>
      <c r="G197" s="2"/>
      <c r="H197" s="2"/>
      <c r="I197" s="2"/>
      <c r="J197" s="2"/>
      <c r="K197" s="2"/>
      <c r="L197" s="2"/>
      <c r="M197" s="2"/>
      <c r="N197" s="2"/>
      <c r="O197" s="2"/>
      <c r="P197" s="2"/>
      <c r="Q197" s="2"/>
      <c r="R197" s="2"/>
      <c r="S197" s="79"/>
      <c r="T197" s="2"/>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spans="1:50" x14ac:dyDescent="0.3">
      <c r="A198" s="1"/>
      <c r="B198" s="1"/>
      <c r="C198" s="2"/>
      <c r="D198" s="2"/>
      <c r="E198" s="2"/>
      <c r="F198" s="2"/>
      <c r="G198" s="2"/>
      <c r="H198" s="2"/>
      <c r="I198" s="2"/>
      <c r="J198" s="2"/>
      <c r="K198" s="2"/>
      <c r="L198" s="2"/>
      <c r="M198" s="2"/>
      <c r="N198" s="2"/>
      <c r="O198" s="2"/>
      <c r="P198" s="2"/>
      <c r="Q198" s="2"/>
      <c r="R198" s="2"/>
      <c r="S198" s="79"/>
      <c r="T198" s="2"/>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spans="1:50" x14ac:dyDescent="0.3">
      <c r="A199" s="1"/>
      <c r="B199" s="1"/>
      <c r="C199" s="2"/>
      <c r="D199" s="2"/>
      <c r="E199" s="2"/>
      <c r="F199" s="2"/>
      <c r="G199" s="2"/>
      <c r="H199" s="2"/>
      <c r="I199" s="2"/>
      <c r="J199" s="2"/>
      <c r="K199" s="2"/>
      <c r="L199" s="2"/>
      <c r="M199" s="2"/>
      <c r="N199" s="2"/>
      <c r="O199" s="2"/>
      <c r="P199" s="2"/>
      <c r="Q199" s="2"/>
      <c r="R199" s="2"/>
      <c r="S199" s="79"/>
      <c r="T199" s="2"/>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spans="1:50" x14ac:dyDescent="0.3">
      <c r="A200" s="1"/>
      <c r="B200" s="1"/>
      <c r="C200" s="2"/>
      <c r="D200" s="2"/>
      <c r="E200" s="2"/>
      <c r="F200" s="2"/>
      <c r="G200" s="2"/>
      <c r="H200" s="2"/>
      <c r="I200" s="2"/>
      <c r="J200" s="2"/>
      <c r="K200" s="2"/>
      <c r="L200" s="2"/>
      <c r="M200" s="2"/>
      <c r="N200" s="2"/>
      <c r="O200" s="2"/>
      <c r="P200" s="2"/>
      <c r="Q200" s="2"/>
      <c r="R200" s="2"/>
      <c r="S200" s="79"/>
      <c r="T200" s="2"/>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spans="1:50" x14ac:dyDescent="0.3">
      <c r="A201" s="1"/>
      <c r="B201" s="1"/>
      <c r="C201" s="2"/>
      <c r="D201" s="2"/>
      <c r="E201" s="2"/>
      <c r="F201" s="2"/>
      <c r="G201" s="2"/>
      <c r="H201" s="2"/>
      <c r="I201" s="2"/>
      <c r="J201" s="2"/>
      <c r="K201" s="2"/>
      <c r="L201" s="2"/>
      <c r="M201" s="2"/>
      <c r="N201" s="2"/>
      <c r="O201" s="2"/>
      <c r="P201" s="2"/>
      <c r="Q201" s="2"/>
      <c r="R201" s="2"/>
      <c r="S201" s="79"/>
      <c r="T201" s="2"/>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spans="1:50" x14ac:dyDescent="0.3">
      <c r="A202" s="1"/>
      <c r="B202" s="1"/>
      <c r="C202" s="2"/>
      <c r="D202" s="2"/>
      <c r="E202" s="2"/>
      <c r="F202" s="2"/>
      <c r="G202" s="2"/>
      <c r="H202" s="2"/>
      <c r="I202" s="2"/>
      <c r="J202" s="2"/>
      <c r="K202" s="2"/>
      <c r="L202" s="2"/>
      <c r="M202" s="2"/>
      <c r="N202" s="2"/>
      <c r="O202" s="2"/>
      <c r="P202" s="2"/>
      <c r="Q202" s="2"/>
      <c r="R202" s="2"/>
      <c r="S202" s="79"/>
      <c r="T202" s="2"/>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spans="1:50" x14ac:dyDescent="0.3">
      <c r="A203" s="1"/>
      <c r="B203" s="1"/>
      <c r="C203" s="2"/>
      <c r="D203" s="2"/>
      <c r="E203" s="2"/>
      <c r="F203" s="2"/>
      <c r="G203" s="2"/>
      <c r="H203" s="2"/>
      <c r="I203" s="2"/>
      <c r="J203" s="2"/>
      <c r="K203" s="2"/>
      <c r="L203" s="2"/>
      <c r="M203" s="2"/>
      <c r="N203" s="2"/>
      <c r="O203" s="2"/>
      <c r="P203" s="2"/>
      <c r="Q203" s="2"/>
      <c r="R203" s="2"/>
      <c r="S203" s="79"/>
      <c r="T203" s="2"/>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spans="1:50" x14ac:dyDescent="0.3">
      <c r="A204" s="1"/>
      <c r="B204" s="1"/>
      <c r="C204" s="2"/>
      <c r="D204" s="2"/>
      <c r="E204" s="2"/>
      <c r="F204" s="2"/>
      <c r="G204" s="2"/>
      <c r="H204" s="2"/>
      <c r="I204" s="2"/>
      <c r="J204" s="2"/>
      <c r="K204" s="2"/>
      <c r="L204" s="2"/>
      <c r="M204" s="2"/>
      <c r="N204" s="2"/>
      <c r="O204" s="2"/>
      <c r="P204" s="2"/>
      <c r="Q204" s="2"/>
      <c r="R204" s="2"/>
      <c r="S204" s="79"/>
      <c r="T204" s="2"/>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spans="1:50" x14ac:dyDescent="0.3">
      <c r="A205" s="1"/>
      <c r="B205" s="1"/>
      <c r="C205" s="2"/>
      <c r="D205" s="2"/>
      <c r="E205" s="2"/>
      <c r="F205" s="2"/>
      <c r="G205" s="2"/>
      <c r="H205" s="2"/>
      <c r="I205" s="2"/>
      <c r="J205" s="2"/>
      <c r="K205" s="2"/>
      <c r="L205" s="2"/>
      <c r="M205" s="2"/>
      <c r="N205" s="2"/>
      <c r="O205" s="2"/>
      <c r="P205" s="2"/>
      <c r="Q205" s="2"/>
      <c r="R205" s="2"/>
      <c r="S205" s="79"/>
      <c r="T205" s="2"/>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spans="1:50" x14ac:dyDescent="0.3">
      <c r="A206" s="1"/>
      <c r="B206" s="1"/>
      <c r="C206" s="2"/>
      <c r="D206" s="2"/>
      <c r="E206" s="2"/>
      <c r="F206" s="2"/>
      <c r="G206" s="2"/>
      <c r="H206" s="2"/>
      <c r="I206" s="2"/>
      <c r="J206" s="2"/>
      <c r="K206" s="2"/>
      <c r="L206" s="2"/>
      <c r="M206" s="2"/>
      <c r="N206" s="2"/>
      <c r="O206" s="2"/>
      <c r="P206" s="2"/>
      <c r="Q206" s="2"/>
      <c r="R206" s="2"/>
      <c r="S206" s="79"/>
      <c r="T206" s="2"/>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spans="1:50" x14ac:dyDescent="0.3">
      <c r="A207" s="1"/>
      <c r="B207" s="1"/>
      <c r="C207" s="2"/>
      <c r="D207" s="2"/>
      <c r="E207" s="2"/>
      <c r="F207" s="2"/>
      <c r="G207" s="2"/>
      <c r="H207" s="2"/>
      <c r="I207" s="2"/>
      <c r="J207" s="2"/>
      <c r="K207" s="2"/>
      <c r="L207" s="2"/>
      <c r="M207" s="2"/>
      <c r="N207" s="2"/>
      <c r="O207" s="2"/>
      <c r="P207" s="2"/>
      <c r="Q207" s="2"/>
      <c r="R207" s="2"/>
      <c r="S207" s="79"/>
      <c r="T207" s="2"/>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spans="1:50" x14ac:dyDescent="0.3">
      <c r="A208" s="1"/>
      <c r="B208" s="1"/>
      <c r="C208" s="2"/>
      <c r="D208" s="2"/>
      <c r="E208" s="2"/>
      <c r="F208" s="2"/>
      <c r="G208" s="2"/>
      <c r="H208" s="2"/>
      <c r="I208" s="2"/>
      <c r="J208" s="2"/>
      <c r="K208" s="2"/>
      <c r="L208" s="2"/>
      <c r="M208" s="2"/>
      <c r="N208" s="2"/>
      <c r="O208" s="2"/>
      <c r="P208" s="2"/>
      <c r="Q208" s="2"/>
      <c r="R208" s="2"/>
      <c r="S208" s="79"/>
      <c r="T208" s="2"/>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spans="1:50" x14ac:dyDescent="0.3">
      <c r="A209" s="1"/>
      <c r="B209" s="1"/>
      <c r="C209" s="2"/>
      <c r="D209" s="2"/>
      <c r="E209" s="2"/>
      <c r="F209" s="2"/>
      <c r="G209" s="2"/>
      <c r="H209" s="2"/>
      <c r="I209" s="2"/>
      <c r="J209" s="2"/>
      <c r="K209" s="2"/>
      <c r="L209" s="2"/>
      <c r="M209" s="2"/>
      <c r="N209" s="2"/>
      <c r="O209" s="2"/>
      <c r="P209" s="2"/>
      <c r="Q209" s="2"/>
      <c r="R209" s="2"/>
      <c r="S209" s="79"/>
      <c r="T209" s="2"/>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spans="1:50" x14ac:dyDescent="0.3">
      <c r="A210" s="1"/>
      <c r="B210" s="1"/>
      <c r="C210" s="2"/>
      <c r="D210" s="2"/>
      <c r="E210" s="2"/>
      <c r="F210" s="2"/>
      <c r="G210" s="2"/>
      <c r="H210" s="2"/>
      <c r="I210" s="2"/>
      <c r="J210" s="2"/>
      <c r="K210" s="2"/>
      <c r="L210" s="2"/>
      <c r="M210" s="2"/>
      <c r="N210" s="2"/>
      <c r="O210" s="2"/>
      <c r="P210" s="2"/>
      <c r="Q210" s="2"/>
      <c r="R210" s="2"/>
      <c r="S210" s="79"/>
      <c r="T210" s="2"/>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spans="1:50" x14ac:dyDescent="0.3">
      <c r="A211" s="1"/>
      <c r="B211" s="1"/>
      <c r="C211" s="2"/>
      <c r="D211" s="2"/>
      <c r="E211" s="2"/>
      <c r="F211" s="2"/>
      <c r="G211" s="2"/>
      <c r="H211" s="2"/>
      <c r="I211" s="2"/>
      <c r="J211" s="2"/>
      <c r="K211" s="2"/>
      <c r="L211" s="2"/>
      <c r="M211" s="2"/>
      <c r="N211" s="2"/>
      <c r="O211" s="2"/>
      <c r="P211" s="2"/>
      <c r="Q211" s="2"/>
      <c r="R211" s="2"/>
      <c r="S211" s="79"/>
      <c r="T211" s="2"/>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spans="1:50" x14ac:dyDescent="0.3">
      <c r="A212" s="1"/>
      <c r="B212" s="1"/>
      <c r="C212" s="2"/>
      <c r="D212" s="2"/>
      <c r="E212" s="2"/>
      <c r="F212" s="2"/>
      <c r="G212" s="2"/>
      <c r="H212" s="2"/>
      <c r="I212" s="2"/>
      <c r="J212" s="2"/>
      <c r="K212" s="2"/>
      <c r="L212" s="2"/>
      <c r="M212" s="2"/>
      <c r="N212" s="2"/>
      <c r="O212" s="2"/>
      <c r="P212" s="2"/>
      <c r="Q212" s="2"/>
      <c r="R212" s="2"/>
      <c r="S212" s="79"/>
      <c r="T212" s="2"/>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spans="1:50" x14ac:dyDescent="0.3">
      <c r="A213" s="1"/>
      <c r="B213" s="1"/>
      <c r="C213" s="2"/>
      <c r="D213" s="2"/>
      <c r="E213" s="2"/>
      <c r="F213" s="2"/>
      <c r="G213" s="2"/>
      <c r="H213" s="2"/>
      <c r="I213" s="2"/>
      <c r="J213" s="2"/>
      <c r="K213" s="2"/>
      <c r="L213" s="2"/>
      <c r="M213" s="2"/>
      <c r="N213" s="2"/>
      <c r="O213" s="2"/>
      <c r="P213" s="2"/>
      <c r="Q213" s="2"/>
      <c r="R213" s="2"/>
      <c r="S213" s="79"/>
      <c r="T213" s="2"/>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spans="1:50" x14ac:dyDescent="0.3">
      <c r="A214" s="1"/>
      <c r="B214" s="1"/>
      <c r="C214" s="2"/>
      <c r="D214" s="2"/>
      <c r="E214" s="2"/>
      <c r="F214" s="2"/>
      <c r="G214" s="2"/>
      <c r="H214" s="2"/>
      <c r="I214" s="2"/>
      <c r="J214" s="2"/>
      <c r="K214" s="2"/>
      <c r="L214" s="2"/>
      <c r="M214" s="2"/>
      <c r="N214" s="2"/>
      <c r="O214" s="2"/>
      <c r="P214" s="2"/>
      <c r="Q214" s="2"/>
      <c r="R214" s="2"/>
      <c r="S214" s="79"/>
      <c r="T214" s="2"/>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spans="1:50" x14ac:dyDescent="0.3">
      <c r="A215" s="1"/>
      <c r="B215" s="1"/>
      <c r="C215" s="2"/>
      <c r="D215" s="2"/>
      <c r="E215" s="2"/>
      <c r="F215" s="2"/>
      <c r="G215" s="2"/>
      <c r="H215" s="2"/>
      <c r="I215" s="2"/>
      <c r="J215" s="2"/>
      <c r="K215" s="2"/>
      <c r="L215" s="2"/>
      <c r="M215" s="2"/>
      <c r="N215" s="2"/>
      <c r="O215" s="2"/>
      <c r="P215" s="2"/>
      <c r="Q215" s="2"/>
      <c r="R215" s="2"/>
      <c r="S215" s="79"/>
      <c r="T215" s="2"/>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spans="1:50" x14ac:dyDescent="0.3">
      <c r="A216" s="1"/>
      <c r="B216" s="1"/>
      <c r="C216" s="2"/>
      <c r="D216" s="2"/>
      <c r="E216" s="2"/>
      <c r="F216" s="2"/>
      <c r="G216" s="2"/>
      <c r="H216" s="2"/>
      <c r="I216" s="2"/>
      <c r="J216" s="2"/>
      <c r="K216" s="2"/>
      <c r="L216" s="2"/>
      <c r="M216" s="2"/>
      <c r="N216" s="2"/>
      <c r="O216" s="2"/>
      <c r="P216" s="2"/>
      <c r="Q216" s="2"/>
      <c r="R216" s="2"/>
      <c r="S216" s="79"/>
      <c r="T216" s="2"/>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spans="1:50" x14ac:dyDescent="0.3">
      <c r="A217" s="1"/>
      <c r="B217" s="1"/>
      <c r="C217" s="2"/>
      <c r="D217" s="2"/>
      <c r="E217" s="2"/>
      <c r="F217" s="2"/>
      <c r="G217" s="2"/>
      <c r="H217" s="2"/>
      <c r="I217" s="2"/>
      <c r="J217" s="2"/>
      <c r="K217" s="2"/>
      <c r="L217" s="2"/>
      <c r="M217" s="2"/>
      <c r="N217" s="2"/>
      <c r="O217" s="2"/>
      <c r="P217" s="2"/>
      <c r="Q217" s="2"/>
      <c r="R217" s="2"/>
      <c r="S217" s="79"/>
      <c r="T217" s="2"/>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spans="1:50" x14ac:dyDescent="0.3">
      <c r="A218" s="1"/>
      <c r="B218" s="1"/>
      <c r="C218" s="2"/>
      <c r="D218" s="2"/>
      <c r="E218" s="2"/>
      <c r="F218" s="2"/>
      <c r="G218" s="2"/>
      <c r="H218" s="2"/>
      <c r="I218" s="2"/>
      <c r="J218" s="2"/>
      <c r="K218" s="2"/>
      <c r="L218" s="2"/>
      <c r="M218" s="2"/>
      <c r="N218" s="2"/>
      <c r="O218" s="2"/>
      <c r="P218" s="2"/>
      <c r="Q218" s="2"/>
      <c r="R218" s="2"/>
      <c r="S218" s="79"/>
      <c r="T218" s="2"/>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spans="1:50" x14ac:dyDescent="0.3">
      <c r="A219" s="1"/>
      <c r="B219" s="1"/>
      <c r="C219" s="2"/>
      <c r="D219" s="2"/>
      <c r="E219" s="2"/>
      <c r="F219" s="2"/>
      <c r="G219" s="2"/>
      <c r="H219" s="2"/>
      <c r="I219" s="2"/>
      <c r="J219" s="2"/>
      <c r="K219" s="2"/>
      <c r="L219" s="2"/>
      <c r="M219" s="2"/>
      <c r="N219" s="2"/>
      <c r="O219" s="2"/>
      <c r="P219" s="2"/>
      <c r="Q219" s="2"/>
      <c r="R219" s="2"/>
      <c r="S219" s="79"/>
      <c r="T219" s="2"/>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spans="1:50" x14ac:dyDescent="0.3">
      <c r="A220" s="1"/>
      <c r="B220" s="1"/>
      <c r="C220" s="2"/>
      <c r="D220" s="2"/>
      <c r="E220" s="2"/>
      <c r="F220" s="2"/>
      <c r="G220" s="2"/>
      <c r="H220" s="2"/>
      <c r="I220" s="2"/>
      <c r="J220" s="2"/>
      <c r="K220" s="2"/>
      <c r="L220" s="2"/>
      <c r="M220" s="2"/>
      <c r="N220" s="2"/>
      <c r="O220" s="2"/>
      <c r="P220" s="2"/>
      <c r="Q220" s="2"/>
      <c r="R220" s="2"/>
      <c r="S220" s="79"/>
      <c r="T220" s="2"/>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spans="1:50" x14ac:dyDescent="0.3">
      <c r="A221" s="1"/>
      <c r="B221" s="1"/>
      <c r="C221" s="2"/>
      <c r="D221" s="2"/>
      <c r="E221" s="2"/>
      <c r="F221" s="2"/>
      <c r="G221" s="2"/>
      <c r="H221" s="2"/>
      <c r="I221" s="2"/>
      <c r="J221" s="2"/>
      <c r="K221" s="2"/>
      <c r="L221" s="2"/>
      <c r="M221" s="2"/>
      <c r="N221" s="2"/>
      <c r="O221" s="2"/>
      <c r="P221" s="2"/>
      <c r="Q221" s="2"/>
      <c r="R221" s="2"/>
      <c r="S221" s="79"/>
      <c r="T221" s="2"/>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spans="1:50" x14ac:dyDescent="0.3">
      <c r="A222" s="1"/>
      <c r="B222" s="1"/>
      <c r="C222" s="2"/>
      <c r="D222" s="2"/>
      <c r="E222" s="2"/>
      <c r="F222" s="2"/>
      <c r="G222" s="2"/>
      <c r="H222" s="2"/>
      <c r="I222" s="2"/>
      <c r="J222" s="2"/>
      <c r="K222" s="2"/>
      <c r="L222" s="2"/>
      <c r="M222" s="2"/>
      <c r="N222" s="2"/>
      <c r="O222" s="2"/>
      <c r="P222" s="2"/>
      <c r="Q222" s="2"/>
      <c r="R222" s="2"/>
      <c r="S222" s="79"/>
      <c r="T222" s="2"/>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spans="1:50" x14ac:dyDescent="0.3">
      <c r="A223" s="1"/>
      <c r="B223" s="1"/>
      <c r="C223" s="2"/>
      <c r="D223" s="2"/>
      <c r="E223" s="2"/>
      <c r="F223" s="2"/>
      <c r="G223" s="2"/>
      <c r="H223" s="2"/>
      <c r="I223" s="2"/>
      <c r="J223" s="2"/>
      <c r="K223" s="2"/>
      <c r="L223" s="2"/>
      <c r="M223" s="2"/>
      <c r="N223" s="2"/>
      <c r="O223" s="2"/>
      <c r="P223" s="2"/>
      <c r="Q223" s="2"/>
      <c r="R223" s="2"/>
      <c r="S223" s="79"/>
      <c r="T223" s="2"/>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spans="1:50" x14ac:dyDescent="0.3">
      <c r="A224" s="1"/>
      <c r="B224" s="1"/>
      <c r="C224" s="2"/>
      <c r="D224" s="2"/>
      <c r="E224" s="2"/>
      <c r="F224" s="2"/>
      <c r="G224" s="2"/>
      <c r="H224" s="2"/>
      <c r="I224" s="2"/>
      <c r="J224" s="2"/>
      <c r="K224" s="2"/>
      <c r="L224" s="2"/>
      <c r="M224" s="2"/>
      <c r="N224" s="2"/>
      <c r="O224" s="2"/>
      <c r="P224" s="2"/>
      <c r="Q224" s="2"/>
      <c r="R224" s="2"/>
      <c r="S224" s="79"/>
      <c r="T224" s="2"/>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spans="1:50" x14ac:dyDescent="0.3">
      <c r="A225" s="1"/>
      <c r="B225" s="1"/>
      <c r="C225" s="2"/>
      <c r="D225" s="2"/>
      <c r="E225" s="2"/>
      <c r="F225" s="2"/>
      <c r="G225" s="2"/>
      <c r="H225" s="2"/>
      <c r="I225" s="2"/>
      <c r="J225" s="2"/>
      <c r="K225" s="2"/>
      <c r="L225" s="2"/>
      <c r="M225" s="2"/>
      <c r="N225" s="2"/>
      <c r="O225" s="2"/>
      <c r="P225" s="2"/>
      <c r="Q225" s="2"/>
      <c r="R225" s="2"/>
      <c r="S225" s="79"/>
      <c r="T225" s="2"/>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spans="1:50" x14ac:dyDescent="0.3">
      <c r="A226" s="1"/>
      <c r="B226" s="1"/>
      <c r="C226" s="2"/>
      <c r="D226" s="2"/>
      <c r="E226" s="2"/>
      <c r="F226" s="2"/>
      <c r="G226" s="2"/>
      <c r="H226" s="2"/>
      <c r="I226" s="2"/>
      <c r="J226" s="2"/>
      <c r="K226" s="2"/>
      <c r="L226" s="2"/>
      <c r="M226" s="2"/>
      <c r="N226" s="2"/>
      <c r="O226" s="2"/>
      <c r="P226" s="2"/>
      <c r="Q226" s="2"/>
      <c r="R226" s="2"/>
      <c r="S226" s="79"/>
      <c r="T226" s="2"/>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spans="1:50" x14ac:dyDescent="0.3">
      <c r="A227" s="1"/>
      <c r="B227" s="1"/>
      <c r="C227" s="2"/>
      <c r="D227" s="2"/>
      <c r="E227" s="2"/>
      <c r="F227" s="2"/>
      <c r="G227" s="2"/>
      <c r="H227" s="2"/>
      <c r="I227" s="2"/>
      <c r="J227" s="2"/>
      <c r="K227" s="2"/>
      <c r="L227" s="2"/>
      <c r="M227" s="2"/>
      <c r="N227" s="2"/>
      <c r="O227" s="2"/>
      <c r="P227" s="2"/>
      <c r="Q227" s="2"/>
      <c r="R227" s="2"/>
      <c r="S227" s="79"/>
      <c r="T227" s="2"/>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spans="1:50" x14ac:dyDescent="0.3">
      <c r="A228" s="1"/>
      <c r="B228" s="1"/>
      <c r="C228" s="2"/>
      <c r="D228" s="2"/>
      <c r="E228" s="2"/>
      <c r="F228" s="2"/>
      <c r="G228" s="2"/>
      <c r="H228" s="2"/>
      <c r="I228" s="2"/>
      <c r="J228" s="2"/>
      <c r="K228" s="2"/>
      <c r="L228" s="2"/>
      <c r="M228" s="2"/>
      <c r="N228" s="2"/>
      <c r="O228" s="2"/>
      <c r="P228" s="2"/>
      <c r="Q228" s="2"/>
      <c r="R228" s="2"/>
      <c r="S228" s="79"/>
      <c r="T228" s="2"/>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spans="1:50" x14ac:dyDescent="0.3">
      <c r="A229" s="1"/>
      <c r="B229" s="1"/>
      <c r="C229" s="2"/>
      <c r="D229" s="2"/>
      <c r="E229" s="2"/>
      <c r="F229" s="2"/>
      <c r="G229" s="2"/>
      <c r="H229" s="2"/>
      <c r="I229" s="2"/>
      <c r="J229" s="2"/>
      <c r="K229" s="2"/>
      <c r="L229" s="2"/>
      <c r="M229" s="2"/>
      <c r="N229" s="2"/>
      <c r="O229" s="2"/>
      <c r="P229" s="2"/>
      <c r="Q229" s="2"/>
      <c r="R229" s="2"/>
      <c r="S229" s="79"/>
      <c r="T229" s="2"/>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spans="1:50" x14ac:dyDescent="0.3">
      <c r="A230" s="1"/>
      <c r="B230" s="1"/>
      <c r="C230" s="2"/>
      <c r="D230" s="2"/>
      <c r="E230" s="2"/>
      <c r="F230" s="2"/>
      <c r="G230" s="2"/>
      <c r="H230" s="2"/>
      <c r="I230" s="2"/>
      <c r="J230" s="2"/>
      <c r="K230" s="2"/>
      <c r="L230" s="2"/>
      <c r="M230" s="2"/>
      <c r="N230" s="2"/>
      <c r="O230" s="2"/>
      <c r="P230" s="2"/>
      <c r="Q230" s="2"/>
      <c r="R230" s="2"/>
      <c r="S230" s="79"/>
      <c r="T230" s="2"/>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spans="1:50" x14ac:dyDescent="0.3">
      <c r="A231" s="1"/>
      <c r="B231" s="1"/>
      <c r="C231" s="2"/>
      <c r="D231" s="2"/>
      <c r="E231" s="2"/>
      <c r="F231" s="2"/>
      <c r="G231" s="2"/>
      <c r="H231" s="2"/>
      <c r="I231" s="2"/>
      <c r="J231" s="2"/>
      <c r="K231" s="2"/>
      <c r="L231" s="2"/>
      <c r="M231" s="2"/>
      <c r="N231" s="2"/>
      <c r="O231" s="2"/>
      <c r="P231" s="2"/>
      <c r="Q231" s="2"/>
      <c r="R231" s="2"/>
      <c r="S231" s="79"/>
      <c r="T231" s="2"/>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spans="1:50" x14ac:dyDescent="0.3">
      <c r="A232" s="1"/>
      <c r="B232" s="1"/>
      <c r="C232" s="2"/>
      <c r="D232" s="2"/>
      <c r="E232" s="2"/>
      <c r="F232" s="2"/>
      <c r="G232" s="2"/>
      <c r="H232" s="2"/>
      <c r="I232" s="2"/>
      <c r="J232" s="2"/>
      <c r="K232" s="2"/>
      <c r="L232" s="2"/>
      <c r="M232" s="2"/>
      <c r="N232" s="2"/>
      <c r="O232" s="2"/>
      <c r="P232" s="2"/>
      <c r="Q232" s="2"/>
      <c r="R232" s="2"/>
      <c r="S232" s="79"/>
      <c r="T232" s="2"/>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spans="1:50" x14ac:dyDescent="0.3">
      <c r="A233" s="1"/>
      <c r="B233" s="1"/>
      <c r="C233" s="2"/>
      <c r="D233" s="2"/>
      <c r="E233" s="2"/>
      <c r="F233" s="2"/>
      <c r="G233" s="2"/>
      <c r="H233" s="2"/>
      <c r="I233" s="2"/>
      <c r="J233" s="2"/>
      <c r="K233" s="2"/>
      <c r="L233" s="2"/>
      <c r="M233" s="2"/>
      <c r="N233" s="2"/>
      <c r="O233" s="2"/>
      <c r="P233" s="2"/>
      <c r="Q233" s="2"/>
      <c r="R233" s="2"/>
      <c r="S233" s="79"/>
      <c r="T233" s="2"/>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spans="1:50" x14ac:dyDescent="0.3">
      <c r="A234" s="1"/>
      <c r="B234" s="1"/>
      <c r="C234" s="2"/>
      <c r="D234" s="2"/>
      <c r="E234" s="2"/>
      <c r="F234" s="2"/>
      <c r="G234" s="2"/>
      <c r="H234" s="2"/>
      <c r="I234" s="2"/>
      <c r="J234" s="2"/>
      <c r="K234" s="2"/>
      <c r="L234" s="2"/>
      <c r="M234" s="2"/>
      <c r="N234" s="2"/>
      <c r="O234" s="2"/>
      <c r="P234" s="2"/>
      <c r="Q234" s="2"/>
      <c r="R234" s="2"/>
      <c r="S234" s="79"/>
      <c r="T234" s="2"/>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spans="1:50" x14ac:dyDescent="0.3">
      <c r="A235" s="1"/>
      <c r="B235" s="1"/>
      <c r="C235" s="2"/>
      <c r="D235" s="2"/>
      <c r="E235" s="2"/>
      <c r="F235" s="2"/>
      <c r="G235" s="2"/>
      <c r="H235" s="2"/>
      <c r="I235" s="2"/>
      <c r="J235" s="2"/>
      <c r="K235" s="2"/>
      <c r="L235" s="2"/>
      <c r="M235" s="2"/>
      <c r="N235" s="2"/>
      <c r="O235" s="2"/>
      <c r="P235" s="2"/>
      <c r="Q235" s="2"/>
      <c r="R235" s="2"/>
      <c r="S235" s="79"/>
      <c r="T235" s="2"/>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spans="1:50" x14ac:dyDescent="0.3">
      <c r="A236" s="1"/>
      <c r="B236" s="1"/>
      <c r="C236" s="2"/>
      <c r="D236" s="2"/>
      <c r="E236" s="2"/>
      <c r="F236" s="2"/>
      <c r="G236" s="2"/>
      <c r="H236" s="2"/>
      <c r="I236" s="2"/>
      <c r="J236" s="2"/>
      <c r="K236" s="2"/>
      <c r="L236" s="2"/>
      <c r="M236" s="2"/>
      <c r="N236" s="2"/>
      <c r="O236" s="2"/>
      <c r="P236" s="2"/>
      <c r="Q236" s="2"/>
      <c r="R236" s="2"/>
      <c r="S236" s="79"/>
      <c r="T236" s="2"/>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spans="1:50" x14ac:dyDescent="0.3">
      <c r="A237" s="1"/>
      <c r="B237" s="1"/>
      <c r="C237" s="2"/>
      <c r="D237" s="2"/>
      <c r="E237" s="2"/>
      <c r="F237" s="2"/>
      <c r="G237" s="2"/>
      <c r="H237" s="2"/>
      <c r="I237" s="2"/>
      <c r="J237" s="2"/>
      <c r="K237" s="2"/>
      <c r="L237" s="2"/>
      <c r="M237" s="2"/>
      <c r="N237" s="2"/>
      <c r="O237" s="2"/>
      <c r="P237" s="2"/>
      <c r="Q237" s="2"/>
      <c r="R237" s="2"/>
      <c r="S237" s="79"/>
      <c r="T237" s="2"/>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spans="1:50" x14ac:dyDescent="0.3">
      <c r="A238" s="1"/>
      <c r="B238" s="1"/>
      <c r="C238" s="2"/>
      <c r="D238" s="2"/>
      <c r="E238" s="2"/>
      <c r="F238" s="2"/>
      <c r="G238" s="2"/>
      <c r="H238" s="2"/>
      <c r="I238" s="2"/>
      <c r="J238" s="2"/>
      <c r="K238" s="2"/>
      <c r="L238" s="2"/>
      <c r="M238" s="2"/>
      <c r="N238" s="2"/>
      <c r="O238" s="2"/>
      <c r="P238" s="2"/>
      <c r="Q238" s="2"/>
      <c r="R238" s="2"/>
      <c r="S238" s="79"/>
      <c r="T238" s="2"/>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spans="1:50" x14ac:dyDescent="0.3">
      <c r="A239" s="1"/>
      <c r="B239" s="1"/>
      <c r="C239" s="2"/>
      <c r="D239" s="2"/>
      <c r="E239" s="2"/>
      <c r="F239" s="2"/>
      <c r="G239" s="2"/>
      <c r="H239" s="2"/>
      <c r="I239" s="2"/>
      <c r="J239" s="2"/>
      <c r="K239" s="2"/>
      <c r="L239" s="2"/>
      <c r="M239" s="2"/>
      <c r="N239" s="2"/>
      <c r="O239" s="2"/>
      <c r="P239" s="2"/>
      <c r="Q239" s="2"/>
      <c r="R239" s="2"/>
      <c r="S239" s="79"/>
      <c r="T239" s="2"/>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spans="1:50" x14ac:dyDescent="0.3">
      <c r="A240" s="1"/>
      <c r="B240" s="1"/>
      <c r="C240" s="2"/>
      <c r="D240" s="2"/>
      <c r="E240" s="2"/>
      <c r="F240" s="2"/>
      <c r="G240" s="2"/>
      <c r="H240" s="2"/>
      <c r="I240" s="2"/>
      <c r="J240" s="2"/>
      <c r="K240" s="2"/>
      <c r="L240" s="2"/>
      <c r="M240" s="2"/>
      <c r="N240" s="2"/>
      <c r="O240" s="2"/>
      <c r="P240" s="2"/>
      <c r="Q240" s="2"/>
      <c r="R240" s="2"/>
      <c r="S240" s="79"/>
      <c r="T240" s="2"/>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spans="1:50" x14ac:dyDescent="0.3">
      <c r="A241" s="1"/>
      <c r="B241" s="1"/>
      <c r="C241" s="2"/>
      <c r="D241" s="2"/>
      <c r="E241" s="2"/>
      <c r="F241" s="2"/>
      <c r="G241" s="2"/>
      <c r="H241" s="2"/>
      <c r="I241" s="2"/>
      <c r="J241" s="2"/>
      <c r="K241" s="2"/>
      <c r="L241" s="2"/>
      <c r="M241" s="2"/>
      <c r="N241" s="2"/>
      <c r="O241" s="2"/>
      <c r="P241" s="2"/>
      <c r="Q241" s="2"/>
      <c r="R241" s="2"/>
      <c r="S241" s="79"/>
      <c r="T241" s="2"/>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spans="1:50" x14ac:dyDescent="0.3">
      <c r="A242" s="1"/>
      <c r="B242" s="1"/>
      <c r="C242" s="2"/>
      <c r="D242" s="2"/>
      <c r="E242" s="2"/>
      <c r="F242" s="2"/>
      <c r="G242" s="2"/>
      <c r="H242" s="2"/>
      <c r="I242" s="2"/>
      <c r="J242" s="2"/>
      <c r="K242" s="2"/>
      <c r="L242" s="2"/>
      <c r="M242" s="2"/>
      <c r="N242" s="2"/>
      <c r="O242" s="2"/>
      <c r="P242" s="2"/>
      <c r="Q242" s="2"/>
      <c r="R242" s="2"/>
      <c r="S242" s="79"/>
      <c r="T242" s="2"/>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spans="1:50" x14ac:dyDescent="0.3">
      <c r="A243" s="1"/>
      <c r="B243" s="1"/>
      <c r="C243" s="2"/>
      <c r="D243" s="2"/>
      <c r="E243" s="2"/>
      <c r="F243" s="2"/>
      <c r="G243" s="2"/>
      <c r="H243" s="2"/>
      <c r="I243" s="2"/>
      <c r="J243" s="2"/>
      <c r="K243" s="2"/>
      <c r="L243" s="2"/>
      <c r="M243" s="2"/>
      <c r="N243" s="2"/>
      <c r="O243" s="2"/>
      <c r="P243" s="2"/>
      <c r="Q243" s="2"/>
      <c r="R243" s="2"/>
      <c r="S243" s="79"/>
      <c r="T243" s="2"/>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spans="1:50" x14ac:dyDescent="0.3">
      <c r="A244" s="1"/>
      <c r="B244" s="1"/>
      <c r="C244" s="2"/>
      <c r="D244" s="2"/>
      <c r="E244" s="2"/>
      <c r="F244" s="2"/>
      <c r="G244" s="2"/>
      <c r="H244" s="2"/>
      <c r="I244" s="2"/>
      <c r="J244" s="2"/>
      <c r="K244" s="2"/>
      <c r="L244" s="2"/>
      <c r="M244" s="2"/>
      <c r="N244" s="2"/>
      <c r="O244" s="2"/>
      <c r="P244" s="2"/>
      <c r="Q244" s="2"/>
      <c r="R244" s="2"/>
      <c r="S244" s="79"/>
      <c r="T244" s="2"/>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spans="1:50" x14ac:dyDescent="0.3">
      <c r="A245" s="1"/>
      <c r="B245" s="1"/>
      <c r="C245" s="2"/>
      <c r="D245" s="2"/>
      <c r="E245" s="2"/>
      <c r="F245" s="2"/>
      <c r="G245" s="2"/>
      <c r="H245" s="2"/>
      <c r="I245" s="2"/>
      <c r="J245" s="2"/>
      <c r="K245" s="2"/>
      <c r="L245" s="2"/>
      <c r="M245" s="2"/>
      <c r="N245" s="2"/>
      <c r="O245" s="2"/>
      <c r="P245" s="2"/>
      <c r="Q245" s="2"/>
      <c r="R245" s="2"/>
      <c r="S245" s="79"/>
      <c r="T245" s="2"/>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spans="1:50" x14ac:dyDescent="0.3">
      <c r="A246" s="1"/>
      <c r="B246" s="1"/>
      <c r="C246" s="2"/>
      <c r="D246" s="2"/>
      <c r="E246" s="2"/>
      <c r="F246" s="2"/>
      <c r="G246" s="2"/>
      <c r="H246" s="2"/>
      <c r="I246" s="2"/>
      <c r="J246" s="2"/>
      <c r="K246" s="2"/>
      <c r="L246" s="2"/>
      <c r="M246" s="2"/>
      <c r="N246" s="2"/>
      <c r="O246" s="2"/>
      <c r="P246" s="2"/>
      <c r="Q246" s="2"/>
      <c r="R246" s="2"/>
      <c r="S246" s="79"/>
      <c r="T246" s="2"/>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spans="1:50" x14ac:dyDescent="0.3">
      <c r="A247" s="1"/>
      <c r="B247" s="1"/>
      <c r="C247" s="2"/>
      <c r="D247" s="2"/>
      <c r="E247" s="2"/>
      <c r="F247" s="2"/>
      <c r="G247" s="2"/>
      <c r="H247" s="2"/>
      <c r="I247" s="2"/>
      <c r="J247" s="2"/>
      <c r="K247" s="2"/>
      <c r="L247" s="2"/>
      <c r="M247" s="2"/>
      <c r="N247" s="2"/>
      <c r="O247" s="2"/>
      <c r="P247" s="2"/>
      <c r="Q247" s="2"/>
      <c r="R247" s="2"/>
      <c r="S247" s="79"/>
      <c r="T247" s="2"/>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spans="1:50" x14ac:dyDescent="0.3">
      <c r="A248" s="1"/>
      <c r="B248" s="1"/>
      <c r="C248" s="2"/>
      <c r="D248" s="2"/>
      <c r="E248" s="2"/>
      <c r="F248" s="2"/>
      <c r="G248" s="2"/>
      <c r="H248" s="2"/>
      <c r="I248" s="2"/>
      <c r="J248" s="2"/>
      <c r="K248" s="2"/>
      <c r="L248" s="2"/>
      <c r="M248" s="2"/>
      <c r="N248" s="2"/>
      <c r="O248" s="2"/>
      <c r="P248" s="2"/>
      <c r="Q248" s="2"/>
      <c r="R248" s="2"/>
      <c r="S248" s="79"/>
      <c r="T248" s="2"/>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spans="1:50" x14ac:dyDescent="0.3">
      <c r="A249" s="1"/>
      <c r="B249" s="1"/>
      <c r="C249" s="2"/>
      <c r="D249" s="2"/>
      <c r="E249" s="2"/>
      <c r="F249" s="2"/>
      <c r="G249" s="2"/>
      <c r="H249" s="2"/>
      <c r="I249" s="2"/>
      <c r="J249" s="2"/>
      <c r="K249" s="2"/>
      <c r="L249" s="2"/>
      <c r="M249" s="2"/>
      <c r="N249" s="2"/>
      <c r="O249" s="2"/>
      <c r="P249" s="2"/>
      <c r="Q249" s="2"/>
      <c r="R249" s="2"/>
      <c r="S249" s="79"/>
      <c r="T249" s="2"/>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spans="1:50" x14ac:dyDescent="0.3">
      <c r="A250" s="1"/>
      <c r="B250" s="1"/>
      <c r="C250" s="2"/>
      <c r="D250" s="2"/>
      <c r="E250" s="2"/>
      <c r="F250" s="2"/>
      <c r="G250" s="2"/>
      <c r="H250" s="2"/>
      <c r="I250" s="2"/>
      <c r="J250" s="2"/>
      <c r="K250" s="2"/>
      <c r="L250" s="2"/>
      <c r="M250" s="2"/>
      <c r="N250" s="2"/>
      <c r="O250" s="2"/>
      <c r="P250" s="2"/>
      <c r="Q250" s="2"/>
      <c r="R250" s="2"/>
      <c r="S250" s="79"/>
      <c r="T250" s="2"/>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spans="1:50" x14ac:dyDescent="0.3">
      <c r="A251" s="1"/>
      <c r="B251" s="1"/>
      <c r="C251" s="2"/>
      <c r="D251" s="2"/>
      <c r="E251" s="2"/>
      <c r="F251" s="2"/>
      <c r="G251" s="2"/>
      <c r="H251" s="2"/>
      <c r="I251" s="2"/>
      <c r="J251" s="2"/>
      <c r="K251" s="2"/>
      <c r="L251" s="2"/>
      <c r="M251" s="2"/>
      <c r="N251" s="2"/>
      <c r="O251" s="2"/>
      <c r="P251" s="2"/>
      <c r="Q251" s="2"/>
      <c r="R251" s="2"/>
      <c r="S251" s="79"/>
      <c r="T251" s="2"/>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spans="1:50" x14ac:dyDescent="0.3">
      <c r="A252" s="1"/>
      <c r="B252" s="1"/>
      <c r="C252" s="2"/>
      <c r="D252" s="2"/>
      <c r="E252" s="2"/>
      <c r="F252" s="2"/>
      <c r="G252" s="2"/>
      <c r="H252" s="2"/>
      <c r="I252" s="2"/>
      <c r="J252" s="2"/>
      <c r="K252" s="2"/>
      <c r="L252" s="2"/>
      <c r="M252" s="2"/>
      <c r="N252" s="2"/>
      <c r="O252" s="2"/>
      <c r="P252" s="2"/>
      <c r="Q252" s="2"/>
      <c r="R252" s="2"/>
      <c r="S252" s="79"/>
      <c r="T252" s="2"/>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spans="1:50" x14ac:dyDescent="0.3">
      <c r="A253" s="1"/>
      <c r="B253" s="1"/>
      <c r="C253" s="2"/>
      <c r="D253" s="2"/>
      <c r="E253" s="2"/>
      <c r="F253" s="2"/>
      <c r="G253" s="2"/>
      <c r="H253" s="2"/>
      <c r="I253" s="2"/>
      <c r="J253" s="2"/>
      <c r="K253" s="2"/>
      <c r="L253" s="2"/>
      <c r="M253" s="2"/>
      <c r="N253" s="2"/>
      <c r="O253" s="2"/>
      <c r="P253" s="2"/>
      <c r="Q253" s="2"/>
      <c r="R253" s="2"/>
      <c r="S253" s="79"/>
      <c r="T253" s="2"/>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spans="1:50" x14ac:dyDescent="0.3">
      <c r="A254" s="1"/>
      <c r="B254" s="1"/>
      <c r="C254" s="2"/>
      <c r="D254" s="2"/>
      <c r="E254" s="2"/>
      <c r="F254" s="2"/>
      <c r="G254" s="2"/>
      <c r="H254" s="2"/>
      <c r="I254" s="2"/>
      <c r="J254" s="2"/>
      <c r="K254" s="2"/>
      <c r="L254" s="2"/>
      <c r="M254" s="2"/>
      <c r="N254" s="2"/>
      <c r="O254" s="2"/>
      <c r="P254" s="2"/>
      <c r="Q254" s="2"/>
      <c r="R254" s="2"/>
      <c r="S254" s="79"/>
      <c r="T254" s="2"/>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spans="1:50" x14ac:dyDescent="0.3">
      <c r="A255" s="1"/>
      <c r="B255" s="1"/>
      <c r="C255" s="2"/>
      <c r="D255" s="2"/>
      <c r="E255" s="2"/>
      <c r="F255" s="2"/>
      <c r="G255" s="2"/>
      <c r="H255" s="2"/>
      <c r="I255" s="2"/>
      <c r="J255" s="2"/>
      <c r="K255" s="2"/>
      <c r="L255" s="2"/>
      <c r="M255" s="2"/>
      <c r="N255" s="2"/>
      <c r="O255" s="2"/>
      <c r="P255" s="2"/>
      <c r="Q255" s="2"/>
      <c r="R255" s="2"/>
      <c r="S255" s="79"/>
      <c r="T255" s="2"/>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spans="1:50" x14ac:dyDescent="0.3">
      <c r="A256" s="1"/>
      <c r="B256" s="1"/>
      <c r="C256" s="2"/>
      <c r="D256" s="2"/>
      <c r="E256" s="2"/>
      <c r="F256" s="2"/>
      <c r="G256" s="2"/>
      <c r="H256" s="2"/>
      <c r="I256" s="2"/>
      <c r="J256" s="2"/>
      <c r="K256" s="2"/>
      <c r="L256" s="2"/>
      <c r="M256" s="2"/>
      <c r="N256" s="2"/>
      <c r="O256" s="2"/>
      <c r="P256" s="2"/>
      <c r="Q256" s="2"/>
      <c r="R256" s="2"/>
      <c r="S256" s="79"/>
      <c r="T256" s="2"/>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spans="1:50" x14ac:dyDescent="0.3">
      <c r="A257" s="1"/>
      <c r="B257" s="1"/>
      <c r="C257" s="2"/>
      <c r="D257" s="2"/>
      <c r="E257" s="2"/>
      <c r="F257" s="2"/>
      <c r="G257" s="2"/>
      <c r="H257" s="2"/>
      <c r="I257" s="2"/>
      <c r="J257" s="2"/>
      <c r="K257" s="2"/>
      <c r="L257" s="2"/>
      <c r="M257" s="2"/>
      <c r="N257" s="2"/>
      <c r="O257" s="2"/>
      <c r="P257" s="2"/>
      <c r="Q257" s="2"/>
      <c r="R257" s="2"/>
      <c r="S257" s="79"/>
      <c r="T257" s="2"/>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spans="1:50" x14ac:dyDescent="0.3">
      <c r="A258" s="1"/>
      <c r="B258" s="1"/>
      <c r="C258" s="2"/>
      <c r="D258" s="2"/>
      <c r="E258" s="2"/>
      <c r="F258" s="2"/>
      <c r="G258" s="2"/>
      <c r="H258" s="2"/>
      <c r="I258" s="2"/>
      <c r="J258" s="2"/>
      <c r="K258" s="2"/>
      <c r="L258" s="2"/>
      <c r="M258" s="2"/>
      <c r="N258" s="2"/>
      <c r="O258" s="2"/>
      <c r="P258" s="2"/>
      <c r="Q258" s="2"/>
      <c r="R258" s="2"/>
      <c r="S258" s="79"/>
      <c r="T258" s="2"/>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spans="1:50" x14ac:dyDescent="0.3">
      <c r="A259" s="1"/>
      <c r="B259" s="1"/>
      <c r="C259" s="2"/>
      <c r="D259" s="2"/>
      <c r="E259" s="2"/>
      <c r="F259" s="2"/>
      <c r="G259" s="2"/>
      <c r="H259" s="2"/>
      <c r="I259" s="2"/>
      <c r="J259" s="2"/>
      <c r="K259" s="2"/>
      <c r="L259" s="2"/>
      <c r="M259" s="2"/>
      <c r="N259" s="2"/>
      <c r="O259" s="2"/>
      <c r="P259" s="2"/>
      <c r="Q259" s="2"/>
      <c r="R259" s="2"/>
      <c r="S259" s="79"/>
      <c r="T259" s="2"/>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spans="1:50" x14ac:dyDescent="0.3">
      <c r="A260" s="1"/>
      <c r="B260" s="1"/>
      <c r="C260" s="2"/>
      <c r="D260" s="2"/>
      <c r="E260" s="2"/>
      <c r="F260" s="2"/>
      <c r="G260" s="2"/>
      <c r="H260" s="2"/>
      <c r="I260" s="2"/>
      <c r="J260" s="2"/>
      <c r="K260" s="2"/>
      <c r="L260" s="2"/>
      <c r="M260" s="2"/>
      <c r="N260" s="2"/>
      <c r="O260" s="2"/>
      <c r="P260" s="2"/>
      <c r="Q260" s="2"/>
      <c r="R260" s="2"/>
      <c r="S260" s="79"/>
      <c r="T260" s="2"/>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spans="1:50" x14ac:dyDescent="0.3">
      <c r="A261" s="1"/>
      <c r="B261" s="1"/>
      <c r="C261" s="2"/>
      <c r="D261" s="2"/>
      <c r="E261" s="2"/>
      <c r="F261" s="2"/>
      <c r="G261" s="2"/>
      <c r="H261" s="2"/>
      <c r="I261" s="2"/>
      <c r="J261" s="2"/>
      <c r="K261" s="2"/>
      <c r="L261" s="2"/>
      <c r="M261" s="2"/>
      <c r="N261" s="2"/>
      <c r="O261" s="2"/>
      <c r="P261" s="2"/>
      <c r="Q261" s="2"/>
      <c r="R261" s="2"/>
      <c r="S261" s="79"/>
      <c r="T261" s="2"/>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spans="1:50" x14ac:dyDescent="0.3">
      <c r="A262" s="1"/>
      <c r="B262" s="1"/>
      <c r="C262" s="2"/>
      <c r="D262" s="2"/>
      <c r="E262" s="2"/>
      <c r="F262" s="2"/>
      <c r="G262" s="2"/>
      <c r="H262" s="2"/>
      <c r="I262" s="2"/>
      <c r="J262" s="2"/>
      <c r="K262" s="2"/>
      <c r="L262" s="2"/>
      <c r="M262" s="2"/>
      <c r="N262" s="2"/>
      <c r="O262" s="2"/>
      <c r="P262" s="2"/>
      <c r="Q262" s="2"/>
      <c r="R262" s="2"/>
      <c r="S262" s="79"/>
      <c r="T262" s="2"/>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spans="1:50" x14ac:dyDescent="0.3">
      <c r="A263" s="1"/>
      <c r="B263" s="1"/>
      <c r="C263" s="2"/>
      <c r="D263" s="2"/>
      <c r="E263" s="2"/>
      <c r="F263" s="2"/>
      <c r="G263" s="2"/>
      <c r="H263" s="2"/>
      <c r="I263" s="2"/>
      <c r="J263" s="2"/>
      <c r="K263" s="2"/>
      <c r="L263" s="2"/>
      <c r="M263" s="2"/>
      <c r="N263" s="2"/>
      <c r="O263" s="2"/>
      <c r="P263" s="2"/>
      <c r="Q263" s="2"/>
      <c r="R263" s="2"/>
      <c r="S263" s="79"/>
      <c r="T263" s="2"/>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spans="1:50" x14ac:dyDescent="0.3">
      <c r="A264" s="1"/>
      <c r="B264" s="1"/>
      <c r="C264" s="2"/>
      <c r="D264" s="2"/>
      <c r="E264" s="2"/>
      <c r="F264" s="2"/>
      <c r="G264" s="2"/>
      <c r="H264" s="2"/>
      <c r="I264" s="2"/>
      <c r="J264" s="2"/>
      <c r="K264" s="2"/>
      <c r="L264" s="2"/>
      <c r="M264" s="2"/>
      <c r="N264" s="2"/>
      <c r="O264" s="2"/>
      <c r="P264" s="2"/>
      <c r="Q264" s="2"/>
      <c r="R264" s="2"/>
      <c r="S264" s="79"/>
      <c r="T264" s="2"/>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spans="1:50" x14ac:dyDescent="0.3">
      <c r="A265" s="1"/>
      <c r="B265" s="1"/>
      <c r="C265" s="2"/>
      <c r="D265" s="2"/>
      <c r="E265" s="2"/>
      <c r="F265" s="2"/>
      <c r="G265" s="2"/>
      <c r="H265" s="2"/>
      <c r="I265" s="2"/>
      <c r="J265" s="2"/>
      <c r="K265" s="2"/>
      <c r="L265" s="2"/>
      <c r="M265" s="2"/>
      <c r="N265" s="2"/>
      <c r="O265" s="2"/>
      <c r="P265" s="2"/>
      <c r="Q265" s="2"/>
      <c r="R265" s="2"/>
      <c r="S265" s="79"/>
      <c r="T265" s="2"/>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spans="1:50" x14ac:dyDescent="0.3">
      <c r="A266" s="1"/>
      <c r="B266" s="1"/>
      <c r="C266" s="2"/>
      <c r="D266" s="2"/>
      <c r="E266" s="2"/>
      <c r="F266" s="2"/>
      <c r="G266" s="2"/>
      <c r="H266" s="2"/>
      <c r="I266" s="2"/>
      <c r="J266" s="2"/>
      <c r="K266" s="2"/>
      <c r="L266" s="2"/>
      <c r="M266" s="2"/>
      <c r="N266" s="2"/>
      <c r="O266" s="2"/>
      <c r="P266" s="2"/>
      <c r="Q266" s="2"/>
      <c r="R266" s="2"/>
      <c r="S266" s="79"/>
      <c r="T266" s="2"/>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spans="1:50" x14ac:dyDescent="0.3">
      <c r="A267" s="1"/>
      <c r="B267" s="1"/>
      <c r="C267" s="2"/>
      <c r="D267" s="2"/>
      <c r="E267" s="2"/>
      <c r="F267" s="2"/>
      <c r="G267" s="2"/>
      <c r="H267" s="2"/>
      <c r="I267" s="2"/>
      <c r="J267" s="2"/>
      <c r="K267" s="2"/>
      <c r="L267" s="2"/>
      <c r="M267" s="2"/>
      <c r="N267" s="2"/>
      <c r="O267" s="2"/>
      <c r="P267" s="2"/>
      <c r="Q267" s="2"/>
      <c r="R267" s="2"/>
      <c r="S267" s="79"/>
      <c r="T267" s="2"/>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spans="1:50" x14ac:dyDescent="0.3">
      <c r="A268" s="1"/>
      <c r="B268" s="1"/>
      <c r="C268" s="2"/>
      <c r="D268" s="2"/>
      <c r="E268" s="2"/>
      <c r="F268" s="2"/>
      <c r="G268" s="2"/>
      <c r="H268" s="2"/>
      <c r="I268" s="2"/>
      <c r="J268" s="2"/>
      <c r="K268" s="2"/>
      <c r="L268" s="2"/>
      <c r="M268" s="2"/>
      <c r="N268" s="2"/>
      <c r="O268" s="2"/>
      <c r="P268" s="2"/>
      <c r="Q268" s="2"/>
      <c r="R268" s="2"/>
      <c r="S268" s="79"/>
      <c r="T268" s="2"/>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spans="1:50" x14ac:dyDescent="0.3">
      <c r="A269" s="1"/>
      <c r="B269" s="1"/>
      <c r="C269" s="2"/>
      <c r="D269" s="2"/>
      <c r="E269" s="2"/>
      <c r="F269" s="2"/>
      <c r="G269" s="2"/>
      <c r="H269" s="2"/>
      <c r="I269" s="2"/>
      <c r="J269" s="2"/>
      <c r="K269" s="2"/>
      <c r="L269" s="2"/>
      <c r="M269" s="2"/>
      <c r="N269" s="2"/>
      <c r="O269" s="2"/>
      <c r="P269" s="2"/>
      <c r="Q269" s="2"/>
      <c r="R269" s="2"/>
      <c r="S269" s="79"/>
      <c r="T269" s="2"/>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spans="1:50" x14ac:dyDescent="0.3">
      <c r="A270" s="1"/>
      <c r="B270" s="1"/>
      <c r="C270" s="2"/>
      <c r="D270" s="2"/>
      <c r="E270" s="2"/>
      <c r="F270" s="2"/>
      <c r="G270" s="2"/>
      <c r="H270" s="2"/>
      <c r="I270" s="2"/>
      <c r="J270" s="2"/>
      <c r="K270" s="2"/>
      <c r="L270" s="2"/>
      <c r="M270" s="2"/>
      <c r="N270" s="2"/>
      <c r="O270" s="2"/>
      <c r="P270" s="2"/>
      <c r="Q270" s="2"/>
      <c r="R270" s="2"/>
      <c r="S270" s="79"/>
      <c r="T270" s="2"/>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spans="1:50" x14ac:dyDescent="0.3">
      <c r="A271" s="1"/>
      <c r="B271" s="1"/>
      <c r="C271" s="2"/>
      <c r="D271" s="2"/>
      <c r="E271" s="2"/>
      <c r="F271" s="2"/>
      <c r="G271" s="2"/>
      <c r="H271" s="2"/>
      <c r="I271" s="2"/>
      <c r="J271" s="2"/>
      <c r="K271" s="2"/>
      <c r="L271" s="2"/>
      <c r="M271" s="2"/>
      <c r="N271" s="2"/>
      <c r="O271" s="2"/>
      <c r="P271" s="2"/>
      <c r="Q271" s="2"/>
      <c r="R271" s="2"/>
      <c r="S271" s="79"/>
      <c r="T271" s="2"/>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spans="1:50" x14ac:dyDescent="0.3">
      <c r="A272" s="1"/>
      <c r="B272" s="1"/>
      <c r="C272" s="2"/>
      <c r="D272" s="2"/>
      <c r="E272" s="2"/>
      <c r="F272" s="2"/>
      <c r="G272" s="2"/>
      <c r="H272" s="2"/>
      <c r="I272" s="2"/>
      <c r="J272" s="2"/>
      <c r="K272" s="2"/>
      <c r="L272" s="2"/>
      <c r="M272" s="2"/>
      <c r="N272" s="2"/>
      <c r="O272" s="2"/>
      <c r="P272" s="2"/>
      <c r="Q272" s="2"/>
      <c r="R272" s="2"/>
      <c r="S272" s="79"/>
      <c r="T272" s="2"/>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spans="1:50" x14ac:dyDescent="0.3">
      <c r="A273" s="1"/>
      <c r="B273" s="1"/>
      <c r="C273" s="2"/>
      <c r="D273" s="2"/>
      <c r="E273" s="2"/>
      <c r="F273" s="2"/>
      <c r="G273" s="2"/>
      <c r="H273" s="2"/>
      <c r="I273" s="2"/>
      <c r="J273" s="2"/>
      <c r="K273" s="2"/>
      <c r="L273" s="2"/>
      <c r="M273" s="2"/>
      <c r="N273" s="2"/>
      <c r="O273" s="2"/>
      <c r="P273" s="2"/>
      <c r="Q273" s="2"/>
      <c r="R273" s="2"/>
      <c r="S273" s="79"/>
      <c r="T273" s="2"/>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spans="1:50" x14ac:dyDescent="0.3">
      <c r="A274" s="1"/>
      <c r="B274" s="1"/>
      <c r="C274" s="2"/>
      <c r="D274" s="2"/>
      <c r="E274" s="2"/>
      <c r="F274" s="2"/>
      <c r="G274" s="2"/>
      <c r="H274" s="2"/>
      <c r="I274" s="2"/>
      <c r="J274" s="2"/>
      <c r="K274" s="2"/>
      <c r="L274" s="2"/>
      <c r="M274" s="2"/>
      <c r="N274" s="2"/>
      <c r="O274" s="2"/>
      <c r="P274" s="2"/>
      <c r="Q274" s="2"/>
      <c r="R274" s="2"/>
      <c r="S274" s="79"/>
      <c r="T274" s="2"/>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spans="1:50" x14ac:dyDescent="0.3">
      <c r="A275" s="1"/>
      <c r="B275" s="1"/>
      <c r="C275" s="2"/>
      <c r="D275" s="2"/>
      <c r="E275" s="2"/>
      <c r="F275" s="2"/>
      <c r="G275" s="2"/>
      <c r="H275" s="2"/>
      <c r="I275" s="2"/>
      <c r="J275" s="2"/>
      <c r="K275" s="2"/>
      <c r="L275" s="2"/>
      <c r="M275" s="2"/>
      <c r="N275" s="2"/>
      <c r="O275" s="2"/>
      <c r="P275" s="2"/>
      <c r="Q275" s="2"/>
      <c r="R275" s="2"/>
      <c r="S275" s="79"/>
      <c r="T275" s="2"/>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spans="1:50" x14ac:dyDescent="0.3">
      <c r="A276" s="1"/>
      <c r="B276" s="1"/>
      <c r="C276" s="2"/>
      <c r="D276" s="2"/>
      <c r="E276" s="2"/>
      <c r="F276" s="2"/>
      <c r="G276" s="2"/>
      <c r="H276" s="2"/>
      <c r="I276" s="2"/>
      <c r="J276" s="2"/>
      <c r="K276" s="2"/>
      <c r="L276" s="2"/>
      <c r="M276" s="2"/>
      <c r="N276" s="2"/>
      <c r="O276" s="2"/>
      <c r="P276" s="2"/>
      <c r="Q276" s="2"/>
      <c r="R276" s="2"/>
      <c r="S276" s="79"/>
      <c r="T276" s="2"/>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spans="1:50" x14ac:dyDescent="0.3">
      <c r="A277" s="1"/>
      <c r="B277" s="1"/>
      <c r="C277" s="2"/>
      <c r="D277" s="2"/>
      <c r="E277" s="2"/>
      <c r="F277" s="2"/>
      <c r="G277" s="2"/>
      <c r="H277" s="2"/>
      <c r="I277" s="2"/>
      <c r="J277" s="2"/>
      <c r="K277" s="2"/>
      <c r="L277" s="2"/>
      <c r="M277" s="2"/>
      <c r="N277" s="2"/>
      <c r="O277" s="2"/>
      <c r="P277" s="2"/>
      <c r="Q277" s="2"/>
      <c r="R277" s="2"/>
      <c r="S277" s="79"/>
      <c r="T277" s="2"/>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spans="1:50" x14ac:dyDescent="0.3">
      <c r="A278" s="1"/>
      <c r="B278" s="1"/>
      <c r="C278" s="2"/>
      <c r="D278" s="2"/>
      <c r="E278" s="2"/>
      <c r="F278" s="2"/>
      <c r="G278" s="2"/>
      <c r="H278" s="2"/>
      <c r="I278" s="2"/>
      <c r="J278" s="2"/>
      <c r="K278" s="2"/>
      <c r="L278" s="2"/>
      <c r="M278" s="2"/>
      <c r="N278" s="2"/>
      <c r="O278" s="2"/>
      <c r="P278" s="2"/>
      <c r="Q278" s="2"/>
      <c r="R278" s="2"/>
      <c r="S278" s="79"/>
      <c r="T278" s="2"/>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spans="1:50" x14ac:dyDescent="0.3">
      <c r="A279" s="1"/>
      <c r="B279" s="1"/>
      <c r="C279" s="2"/>
      <c r="D279" s="2"/>
      <c r="E279" s="2"/>
      <c r="F279" s="2"/>
      <c r="G279" s="2"/>
      <c r="H279" s="2"/>
      <c r="I279" s="2"/>
      <c r="J279" s="2"/>
      <c r="K279" s="2"/>
      <c r="L279" s="2"/>
      <c r="M279" s="2"/>
      <c r="N279" s="2"/>
      <c r="O279" s="2"/>
      <c r="P279" s="2"/>
      <c r="Q279" s="2"/>
      <c r="R279" s="2"/>
      <c r="S279" s="79"/>
      <c r="T279" s="2"/>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spans="1:50" x14ac:dyDescent="0.3">
      <c r="A280" s="1"/>
      <c r="B280" s="1"/>
      <c r="C280" s="2"/>
      <c r="D280" s="2"/>
      <c r="E280" s="2"/>
      <c r="F280" s="2"/>
      <c r="G280" s="2"/>
      <c r="H280" s="2"/>
      <c r="I280" s="2"/>
      <c r="J280" s="2"/>
      <c r="K280" s="2"/>
      <c r="L280" s="2"/>
      <c r="M280" s="2"/>
      <c r="N280" s="2"/>
      <c r="O280" s="2"/>
      <c r="P280" s="2"/>
      <c r="Q280" s="2"/>
      <c r="R280" s="2"/>
      <c r="S280" s="79"/>
      <c r="T280" s="2"/>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spans="1:50" x14ac:dyDescent="0.3">
      <c r="A281" s="1"/>
      <c r="B281" s="1"/>
      <c r="C281" s="2"/>
      <c r="D281" s="2"/>
      <c r="E281" s="2"/>
      <c r="F281" s="2"/>
      <c r="G281" s="2"/>
      <c r="H281" s="2"/>
      <c r="I281" s="2"/>
      <c r="J281" s="2"/>
      <c r="K281" s="2"/>
      <c r="L281" s="2"/>
      <c r="M281" s="2"/>
      <c r="N281" s="2"/>
      <c r="O281" s="2"/>
      <c r="P281" s="2"/>
      <c r="Q281" s="2"/>
      <c r="R281" s="2"/>
      <c r="S281" s="79"/>
      <c r="T281" s="2"/>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spans="1:50" x14ac:dyDescent="0.3">
      <c r="A282" s="1"/>
      <c r="B282" s="1"/>
      <c r="C282" s="2"/>
      <c r="D282" s="2"/>
      <c r="E282" s="2"/>
      <c r="F282" s="2"/>
      <c r="G282" s="2"/>
      <c r="H282" s="2"/>
      <c r="I282" s="2"/>
      <c r="J282" s="2"/>
      <c r="K282" s="2"/>
      <c r="L282" s="2"/>
      <c r="M282" s="2"/>
      <c r="N282" s="2"/>
      <c r="O282" s="2"/>
      <c r="P282" s="2"/>
      <c r="Q282" s="2"/>
      <c r="R282" s="2"/>
      <c r="S282" s="79"/>
      <c r="T282" s="2"/>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spans="1:50" x14ac:dyDescent="0.3">
      <c r="A283" s="1"/>
      <c r="B283" s="1"/>
      <c r="C283" s="2"/>
      <c r="D283" s="2"/>
      <c r="E283" s="2"/>
      <c r="F283" s="2"/>
      <c r="G283" s="2"/>
      <c r="H283" s="2"/>
      <c r="I283" s="2"/>
      <c r="J283" s="2"/>
      <c r="K283" s="2"/>
      <c r="L283" s="2"/>
      <c r="M283" s="2"/>
      <c r="N283" s="2"/>
      <c r="O283" s="2"/>
      <c r="P283" s="2"/>
      <c r="Q283" s="2"/>
      <c r="R283" s="2"/>
      <c r="S283" s="79"/>
      <c r="T283" s="2"/>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spans="1:50" x14ac:dyDescent="0.3">
      <c r="A284" s="1"/>
      <c r="B284" s="1"/>
      <c r="C284" s="2"/>
      <c r="D284" s="2"/>
      <c r="E284" s="2"/>
      <c r="F284" s="2"/>
      <c r="G284" s="2"/>
      <c r="H284" s="2"/>
      <c r="I284" s="2"/>
      <c r="J284" s="2"/>
      <c r="K284" s="2"/>
      <c r="L284" s="2"/>
      <c r="M284" s="2"/>
      <c r="N284" s="2"/>
      <c r="O284" s="2"/>
      <c r="P284" s="2"/>
      <c r="Q284" s="2"/>
      <c r="R284" s="2"/>
      <c r="S284" s="79"/>
      <c r="T284" s="2"/>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spans="1:50" x14ac:dyDescent="0.3">
      <c r="A285" s="1"/>
      <c r="B285" s="1"/>
      <c r="C285" s="2"/>
      <c r="D285" s="2"/>
      <c r="E285" s="2"/>
      <c r="F285" s="2"/>
      <c r="G285" s="2"/>
      <c r="H285" s="2"/>
      <c r="I285" s="2"/>
      <c r="J285" s="2"/>
      <c r="K285" s="2"/>
      <c r="L285" s="2"/>
      <c r="M285" s="2"/>
      <c r="N285" s="2"/>
      <c r="O285" s="2"/>
      <c r="P285" s="2"/>
      <c r="Q285" s="2"/>
      <c r="R285" s="2"/>
      <c r="S285" s="79"/>
      <c r="T285" s="2"/>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spans="1:50" x14ac:dyDescent="0.3">
      <c r="A286" s="1"/>
      <c r="B286" s="1"/>
      <c r="C286" s="2"/>
      <c r="D286" s="2"/>
      <c r="E286" s="2"/>
      <c r="F286" s="2"/>
      <c r="G286" s="2"/>
      <c r="H286" s="2"/>
      <c r="I286" s="2"/>
      <c r="J286" s="2"/>
      <c r="K286" s="2"/>
      <c r="L286" s="2"/>
      <c r="M286" s="2"/>
      <c r="N286" s="2"/>
      <c r="O286" s="2"/>
      <c r="P286" s="2"/>
      <c r="Q286" s="2"/>
      <c r="R286" s="2"/>
      <c r="S286" s="79"/>
      <c r="T286" s="2"/>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spans="1:50" x14ac:dyDescent="0.3">
      <c r="A287" s="1"/>
      <c r="B287" s="1"/>
      <c r="C287" s="2"/>
      <c r="D287" s="2"/>
      <c r="E287" s="2"/>
      <c r="F287" s="2"/>
      <c r="G287" s="2"/>
      <c r="H287" s="2"/>
      <c r="I287" s="2"/>
      <c r="J287" s="2"/>
      <c r="K287" s="2"/>
      <c r="L287" s="2"/>
      <c r="M287" s="2"/>
      <c r="N287" s="2"/>
      <c r="O287" s="2"/>
      <c r="P287" s="2"/>
      <c r="Q287" s="2"/>
      <c r="R287" s="2"/>
      <c r="S287" s="79"/>
      <c r="T287" s="2"/>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spans="1:50" x14ac:dyDescent="0.3">
      <c r="A288" s="1"/>
      <c r="B288" s="1"/>
      <c r="C288" s="2"/>
      <c r="D288" s="2"/>
      <c r="E288" s="2"/>
      <c r="F288" s="2"/>
      <c r="G288" s="2"/>
      <c r="H288" s="2"/>
      <c r="I288" s="2"/>
      <c r="J288" s="2"/>
      <c r="K288" s="2"/>
      <c r="L288" s="2"/>
      <c r="M288" s="2"/>
      <c r="N288" s="2"/>
      <c r="O288" s="2"/>
      <c r="P288" s="2"/>
      <c r="Q288" s="2"/>
      <c r="R288" s="2"/>
      <c r="S288" s="79"/>
      <c r="T288" s="2"/>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spans="1:50" x14ac:dyDescent="0.3">
      <c r="A289" s="1"/>
      <c r="B289" s="1"/>
      <c r="C289" s="2"/>
      <c r="D289" s="2"/>
      <c r="E289" s="2"/>
      <c r="F289" s="2"/>
      <c r="G289" s="2"/>
      <c r="H289" s="2"/>
      <c r="I289" s="2"/>
      <c r="J289" s="2"/>
      <c r="K289" s="2"/>
      <c r="L289" s="2"/>
      <c r="M289" s="2"/>
      <c r="N289" s="2"/>
      <c r="O289" s="2"/>
      <c r="P289" s="2"/>
      <c r="Q289" s="2"/>
      <c r="R289" s="2"/>
      <c r="S289" s="79"/>
      <c r="T289" s="2"/>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spans="1:50" x14ac:dyDescent="0.3">
      <c r="A290" s="1"/>
      <c r="B290" s="1"/>
      <c r="C290" s="2"/>
      <c r="D290" s="2"/>
      <c r="E290" s="2"/>
      <c r="F290" s="2"/>
      <c r="G290" s="2"/>
      <c r="H290" s="2"/>
      <c r="I290" s="2"/>
      <c r="J290" s="2"/>
      <c r="K290" s="2"/>
      <c r="L290" s="2"/>
      <c r="M290" s="2"/>
      <c r="N290" s="2"/>
      <c r="O290" s="2"/>
      <c r="P290" s="2"/>
      <c r="Q290" s="2"/>
      <c r="R290" s="2"/>
      <c r="S290" s="79"/>
      <c r="T290" s="2"/>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spans="1:50" x14ac:dyDescent="0.3">
      <c r="A291" s="1"/>
      <c r="B291" s="1"/>
      <c r="C291" s="2"/>
      <c r="D291" s="2"/>
      <c r="E291" s="2"/>
      <c r="F291" s="2"/>
      <c r="G291" s="2"/>
      <c r="H291" s="2"/>
      <c r="I291" s="2"/>
      <c r="J291" s="2"/>
      <c r="K291" s="2"/>
      <c r="L291" s="2"/>
      <c r="M291" s="2"/>
      <c r="N291" s="2"/>
      <c r="O291" s="2"/>
      <c r="P291" s="2"/>
      <c r="Q291" s="2"/>
      <c r="R291" s="2"/>
      <c r="S291" s="79"/>
      <c r="T291" s="2"/>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spans="1:50" x14ac:dyDescent="0.3">
      <c r="A292" s="1"/>
      <c r="B292" s="1"/>
      <c r="C292" s="2"/>
      <c r="D292" s="2"/>
      <c r="E292" s="2"/>
      <c r="F292" s="2"/>
      <c r="G292" s="2"/>
      <c r="H292" s="2"/>
      <c r="I292" s="2"/>
      <c r="J292" s="2"/>
      <c r="K292" s="2"/>
      <c r="L292" s="2"/>
      <c r="M292" s="2"/>
      <c r="N292" s="2"/>
      <c r="O292" s="2"/>
      <c r="P292" s="2"/>
      <c r="Q292" s="2"/>
      <c r="R292" s="2"/>
      <c r="S292" s="79"/>
      <c r="T292" s="2"/>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spans="1:50" x14ac:dyDescent="0.3">
      <c r="A293" s="1"/>
      <c r="B293" s="1"/>
      <c r="C293" s="2"/>
      <c r="D293" s="2"/>
      <c r="E293" s="2"/>
      <c r="F293" s="2"/>
      <c r="G293" s="2"/>
      <c r="H293" s="2"/>
      <c r="I293" s="2"/>
      <c r="J293" s="2"/>
      <c r="K293" s="2"/>
      <c r="L293" s="2"/>
      <c r="M293" s="2"/>
      <c r="N293" s="2"/>
      <c r="O293" s="2"/>
      <c r="P293" s="2"/>
      <c r="Q293" s="2"/>
      <c r="R293" s="2"/>
      <c r="S293" s="79"/>
      <c r="T293" s="2"/>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spans="1:50" x14ac:dyDescent="0.3">
      <c r="A294" s="1"/>
      <c r="B294" s="1"/>
      <c r="C294" s="2"/>
      <c r="D294" s="2"/>
      <c r="E294" s="2"/>
      <c r="F294" s="2"/>
      <c r="G294" s="2"/>
      <c r="H294" s="2"/>
      <c r="I294" s="2"/>
      <c r="J294" s="2"/>
      <c r="K294" s="2"/>
      <c r="L294" s="2"/>
      <c r="M294" s="2"/>
      <c r="N294" s="2"/>
      <c r="O294" s="2"/>
      <c r="P294" s="2"/>
      <c r="Q294" s="2"/>
      <c r="R294" s="2"/>
      <c r="S294" s="79"/>
      <c r="T294" s="2"/>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spans="1:50" x14ac:dyDescent="0.3">
      <c r="A295" s="1"/>
      <c r="B295" s="1"/>
      <c r="C295" s="2"/>
      <c r="D295" s="2"/>
      <c r="E295" s="2"/>
      <c r="F295" s="2"/>
      <c r="G295" s="2"/>
      <c r="H295" s="2"/>
      <c r="I295" s="2"/>
      <c r="J295" s="2"/>
      <c r="K295" s="2"/>
      <c r="L295" s="2"/>
      <c r="M295" s="2"/>
      <c r="N295" s="2"/>
      <c r="O295" s="2"/>
      <c r="P295" s="2"/>
      <c r="Q295" s="2"/>
      <c r="R295" s="2"/>
      <c r="S295" s="79"/>
      <c r="T295" s="2"/>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spans="1:50" x14ac:dyDescent="0.3">
      <c r="A296" s="1"/>
      <c r="B296" s="1"/>
      <c r="C296" s="2"/>
      <c r="D296" s="2"/>
      <c r="E296" s="2"/>
      <c r="F296" s="2"/>
      <c r="G296" s="2"/>
      <c r="H296" s="2"/>
      <c r="I296" s="2"/>
      <c r="J296" s="2"/>
      <c r="K296" s="2"/>
      <c r="L296" s="2"/>
      <c r="M296" s="2"/>
      <c r="N296" s="2"/>
      <c r="O296" s="2"/>
      <c r="P296" s="2"/>
      <c r="Q296" s="2"/>
      <c r="R296" s="2"/>
      <c r="S296" s="79"/>
      <c r="T296" s="2"/>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spans="1:50" x14ac:dyDescent="0.3">
      <c r="A297" s="1"/>
      <c r="B297" s="1"/>
      <c r="C297" s="2"/>
      <c r="D297" s="2"/>
      <c r="E297" s="2"/>
      <c r="F297" s="2"/>
      <c r="G297" s="2"/>
      <c r="H297" s="2"/>
      <c r="I297" s="2"/>
      <c r="J297" s="2"/>
      <c r="K297" s="2"/>
      <c r="L297" s="2"/>
      <c r="M297" s="2"/>
      <c r="N297" s="2"/>
      <c r="O297" s="2"/>
      <c r="P297" s="2"/>
      <c r="Q297" s="2"/>
      <c r="R297" s="2"/>
      <c r="S297" s="79"/>
      <c r="T297" s="2"/>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spans="1:50" x14ac:dyDescent="0.3">
      <c r="A298" s="1"/>
      <c r="B298" s="1"/>
      <c r="C298" s="2"/>
      <c r="D298" s="2"/>
      <c r="E298" s="2"/>
      <c r="F298" s="2"/>
      <c r="G298" s="2"/>
      <c r="H298" s="2"/>
      <c r="I298" s="2"/>
      <c r="J298" s="2"/>
      <c r="K298" s="2"/>
      <c r="L298" s="2"/>
      <c r="M298" s="2"/>
      <c r="N298" s="2"/>
      <c r="O298" s="2"/>
      <c r="P298" s="2"/>
      <c r="Q298" s="2"/>
      <c r="R298" s="2"/>
      <c r="S298" s="79"/>
      <c r="T298" s="2"/>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spans="1:50" x14ac:dyDescent="0.3">
      <c r="A299" s="1"/>
      <c r="B299" s="1"/>
      <c r="C299" s="2"/>
      <c r="D299" s="2"/>
      <c r="E299" s="2"/>
      <c r="F299" s="2"/>
      <c r="G299" s="2"/>
      <c r="H299" s="2"/>
      <c r="I299" s="2"/>
      <c r="J299" s="2"/>
      <c r="K299" s="2"/>
      <c r="L299" s="2"/>
      <c r="M299" s="2"/>
      <c r="N299" s="2"/>
      <c r="O299" s="2"/>
      <c r="P299" s="2"/>
      <c r="Q299" s="2"/>
      <c r="R299" s="2"/>
      <c r="S299" s="79"/>
      <c r="T299" s="2"/>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spans="1:50" x14ac:dyDescent="0.3">
      <c r="A300" s="1"/>
      <c r="B300" s="1"/>
      <c r="C300" s="2"/>
      <c r="D300" s="2"/>
      <c r="E300" s="2"/>
      <c r="F300" s="2"/>
      <c r="G300" s="2"/>
      <c r="H300" s="2"/>
      <c r="I300" s="2"/>
      <c r="J300" s="2"/>
      <c r="K300" s="2"/>
      <c r="L300" s="2"/>
      <c r="M300" s="2"/>
      <c r="N300" s="2"/>
      <c r="O300" s="2"/>
      <c r="P300" s="2"/>
      <c r="Q300" s="2"/>
      <c r="R300" s="2"/>
      <c r="S300" s="79"/>
      <c r="T300" s="2"/>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spans="1:50" x14ac:dyDescent="0.3">
      <c r="A301" s="1"/>
      <c r="B301" s="1"/>
      <c r="C301" s="2"/>
      <c r="D301" s="2"/>
      <c r="E301" s="2"/>
      <c r="F301" s="2"/>
      <c r="G301" s="2"/>
      <c r="H301" s="2"/>
      <c r="I301" s="2"/>
      <c r="J301" s="2"/>
      <c r="K301" s="2"/>
      <c r="L301" s="2"/>
      <c r="M301" s="2"/>
      <c r="N301" s="2"/>
      <c r="O301" s="2"/>
      <c r="P301" s="2"/>
      <c r="Q301" s="2"/>
      <c r="R301" s="2"/>
      <c r="S301" s="79"/>
      <c r="T301" s="2"/>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spans="1:50" x14ac:dyDescent="0.3">
      <c r="A302" s="1"/>
      <c r="B302" s="1"/>
      <c r="C302" s="2"/>
      <c r="D302" s="2"/>
      <c r="E302" s="2"/>
      <c r="F302" s="2"/>
      <c r="G302" s="2"/>
      <c r="H302" s="2"/>
      <c r="I302" s="2"/>
      <c r="J302" s="2"/>
      <c r="K302" s="2"/>
      <c r="L302" s="2"/>
      <c r="M302" s="2"/>
      <c r="N302" s="2"/>
      <c r="O302" s="2"/>
      <c r="P302" s="2"/>
      <c r="Q302" s="2"/>
      <c r="R302" s="2"/>
      <c r="S302" s="79"/>
      <c r="T302" s="2"/>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spans="1:50" x14ac:dyDescent="0.3">
      <c r="A303" s="1"/>
      <c r="B303" s="1"/>
      <c r="C303" s="2"/>
      <c r="D303" s="2"/>
      <c r="E303" s="2"/>
      <c r="F303" s="2"/>
      <c r="G303" s="2"/>
      <c r="H303" s="2"/>
      <c r="I303" s="2"/>
      <c r="J303" s="2"/>
      <c r="K303" s="2"/>
      <c r="L303" s="2"/>
      <c r="M303" s="2"/>
      <c r="N303" s="2"/>
      <c r="O303" s="2"/>
      <c r="P303" s="2"/>
      <c r="Q303" s="2"/>
      <c r="R303" s="2"/>
      <c r="S303" s="79"/>
      <c r="T303" s="2"/>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spans="1:50" x14ac:dyDescent="0.3">
      <c r="A304" s="1"/>
      <c r="B304" s="1"/>
      <c r="C304" s="2"/>
      <c r="D304" s="2"/>
      <c r="E304" s="2"/>
      <c r="F304" s="2"/>
      <c r="G304" s="2"/>
      <c r="H304" s="2"/>
      <c r="I304" s="2"/>
      <c r="J304" s="2"/>
      <c r="K304" s="2"/>
      <c r="L304" s="2"/>
      <c r="M304" s="2"/>
      <c r="N304" s="2"/>
      <c r="O304" s="2"/>
      <c r="P304" s="2"/>
      <c r="Q304" s="2"/>
      <c r="R304" s="2"/>
      <c r="S304" s="79"/>
      <c r="T304" s="2"/>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spans="1:50" x14ac:dyDescent="0.3">
      <c r="A305" s="1"/>
      <c r="B305" s="1"/>
      <c r="C305" s="2"/>
      <c r="D305" s="2"/>
      <c r="E305" s="2"/>
      <c r="F305" s="2"/>
      <c r="G305" s="2"/>
      <c r="H305" s="2"/>
      <c r="I305" s="2"/>
      <c r="J305" s="2"/>
      <c r="K305" s="2"/>
      <c r="L305" s="2"/>
      <c r="M305" s="2"/>
      <c r="N305" s="2"/>
      <c r="O305" s="2"/>
      <c r="P305" s="2"/>
      <c r="Q305" s="2"/>
      <c r="R305" s="2"/>
      <c r="S305" s="79"/>
      <c r="T305" s="2"/>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spans="1:50" x14ac:dyDescent="0.3">
      <c r="A306" s="1"/>
      <c r="B306" s="1"/>
      <c r="C306" s="2"/>
      <c r="D306" s="2"/>
      <c r="E306" s="2"/>
      <c r="F306" s="2"/>
      <c r="G306" s="2"/>
      <c r="H306" s="2"/>
      <c r="I306" s="2"/>
      <c r="J306" s="2"/>
      <c r="K306" s="2"/>
      <c r="L306" s="2"/>
      <c r="M306" s="2"/>
      <c r="N306" s="2"/>
      <c r="O306" s="2"/>
      <c r="P306" s="2"/>
      <c r="Q306" s="2"/>
      <c r="R306" s="2"/>
      <c r="S306" s="79"/>
      <c r="T306" s="2"/>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spans="1:50" x14ac:dyDescent="0.3">
      <c r="A307" s="1"/>
      <c r="B307" s="1"/>
      <c r="C307" s="2"/>
      <c r="D307" s="2"/>
      <c r="E307" s="2"/>
      <c r="F307" s="2"/>
      <c r="G307" s="2"/>
      <c r="H307" s="2"/>
      <c r="I307" s="2"/>
      <c r="J307" s="2"/>
      <c r="K307" s="2"/>
      <c r="L307" s="2"/>
      <c r="M307" s="2"/>
      <c r="N307" s="2"/>
      <c r="O307" s="2"/>
      <c r="P307" s="2"/>
      <c r="Q307" s="2"/>
      <c r="R307" s="2"/>
      <c r="S307" s="79"/>
      <c r="T307" s="2"/>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spans="1:50" x14ac:dyDescent="0.3">
      <c r="A308" s="1"/>
      <c r="B308" s="1"/>
      <c r="C308" s="2"/>
      <c r="D308" s="2"/>
      <c r="E308" s="2"/>
      <c r="F308" s="2"/>
      <c r="G308" s="2"/>
      <c r="H308" s="2"/>
      <c r="I308" s="2"/>
      <c r="J308" s="2"/>
      <c r="K308" s="2"/>
      <c r="L308" s="2"/>
      <c r="M308" s="2"/>
      <c r="N308" s="2"/>
      <c r="O308" s="2"/>
      <c r="P308" s="2"/>
      <c r="Q308" s="2"/>
      <c r="R308" s="2"/>
      <c r="S308" s="79"/>
      <c r="T308" s="2"/>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spans="1:50" x14ac:dyDescent="0.3">
      <c r="A309" s="1"/>
      <c r="B309" s="1"/>
      <c r="C309" s="2"/>
      <c r="D309" s="2"/>
      <c r="E309" s="2"/>
      <c r="F309" s="2"/>
      <c r="G309" s="2"/>
      <c r="H309" s="2"/>
      <c r="I309" s="2"/>
      <c r="J309" s="2"/>
      <c r="K309" s="2"/>
      <c r="L309" s="2"/>
      <c r="M309" s="2"/>
      <c r="N309" s="2"/>
      <c r="O309" s="2"/>
      <c r="P309" s="2"/>
      <c r="Q309" s="2"/>
      <c r="R309" s="2"/>
      <c r="S309" s="79"/>
      <c r="T309" s="2"/>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spans="1:50" x14ac:dyDescent="0.3">
      <c r="A310" s="1"/>
      <c r="B310" s="1"/>
      <c r="C310" s="2"/>
      <c r="D310" s="2"/>
      <c r="E310" s="2"/>
      <c r="F310" s="2"/>
      <c r="G310" s="2"/>
      <c r="H310" s="2"/>
      <c r="I310" s="2"/>
      <c r="J310" s="2"/>
      <c r="K310" s="2"/>
      <c r="L310" s="2"/>
      <c r="M310" s="2"/>
      <c r="N310" s="2"/>
      <c r="O310" s="2"/>
      <c r="P310" s="2"/>
      <c r="Q310" s="2"/>
      <c r="R310" s="2"/>
      <c r="S310" s="79"/>
      <c r="T310" s="2"/>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spans="1:50" x14ac:dyDescent="0.3">
      <c r="A311" s="1"/>
      <c r="B311" s="1"/>
      <c r="C311" s="2"/>
      <c r="D311" s="2"/>
      <c r="E311" s="2"/>
      <c r="F311" s="2"/>
      <c r="G311" s="2"/>
      <c r="H311" s="2"/>
      <c r="I311" s="2"/>
      <c r="J311" s="2"/>
      <c r="K311" s="2"/>
      <c r="L311" s="2"/>
      <c r="M311" s="2"/>
      <c r="N311" s="2"/>
      <c r="O311" s="2"/>
      <c r="P311" s="2"/>
      <c r="Q311" s="2"/>
      <c r="R311" s="2"/>
      <c r="S311" s="79"/>
      <c r="T311" s="2"/>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spans="1:50" x14ac:dyDescent="0.3">
      <c r="A312" s="1"/>
      <c r="B312" s="1"/>
      <c r="C312" s="2"/>
      <c r="D312" s="2"/>
      <c r="E312" s="2"/>
      <c r="F312" s="2"/>
      <c r="G312" s="2"/>
      <c r="H312" s="2"/>
      <c r="I312" s="2"/>
      <c r="J312" s="2"/>
      <c r="K312" s="2"/>
      <c r="L312" s="2"/>
      <c r="M312" s="2"/>
      <c r="N312" s="2"/>
      <c r="O312" s="2"/>
      <c r="P312" s="2"/>
      <c r="Q312" s="2"/>
      <c r="R312" s="2"/>
      <c r="S312" s="79"/>
      <c r="T312" s="2"/>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sheetData>
  <conditionalFormatting sqref="B10:R11 S104 C104:R106 C113:R113 C115:R115 C117:R118">
    <cfRule type="cellIs" dxfId="10" priority="32" operator="equal">
      <formula>0</formula>
    </cfRule>
  </conditionalFormatting>
  <conditionalFormatting sqref="C65:R65">
    <cfRule type="colorScale" priority="61">
      <colorScale>
        <cfvo type="min"/>
        <cfvo type="max"/>
        <color rgb="FF142D14"/>
        <color rgb="FF3C963C"/>
      </colorScale>
    </cfRule>
  </conditionalFormatting>
  <conditionalFormatting sqref="C66:R66">
    <cfRule type="colorScale" priority="62">
      <colorScale>
        <cfvo type="min"/>
        <cfvo type="max"/>
        <color rgb="FF142D14"/>
        <color rgb="FF3C963C"/>
      </colorScale>
    </cfRule>
  </conditionalFormatting>
  <conditionalFormatting sqref="C108:R111">
    <cfRule type="cellIs" dxfId="9" priority="2" operator="equal">
      <formula>0</formula>
    </cfRule>
  </conditionalFormatting>
  <conditionalFormatting sqref="M121:P121">
    <cfRule type="cellIs" dxfId="8" priority="1" operator="equal">
      <formula>0</formula>
    </cfRule>
  </conditionalFormatting>
  <pageMargins left="0.511811024" right="0.511811024" top="0.78740157499999996" bottom="0.78740157499999996" header="0.31496062000000002" footer="0.31496062000000002"/>
  <pageSetup orientation="portrait" r:id="rId1"/>
  <ignoredErrors>
    <ignoredError sqref="C43:G43 C48:G48 H45:J45 I43:J43 E34:L34 F89:J89 C10:K10 C108 C34:D34 K24" formulaRange="1"/>
    <ignoredError sqref="M115:P115 M113:P113" 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DC6BD-7E71-445F-A785-1EC1BD58B3E1}">
  <sheetPr codeName="Planilha5"/>
  <dimension ref="A1:AQ318"/>
  <sheetViews>
    <sheetView showGridLines="0" workbookViewId="0">
      <selection activeCell="A26" sqref="A26"/>
    </sheetView>
  </sheetViews>
  <sheetFormatPr defaultRowHeight="14.4" x14ac:dyDescent="0.3"/>
  <cols>
    <col min="1" max="1" width="8.6640625" style="3"/>
    <col min="2" max="2" width="89.5546875" style="3" bestFit="1" customWidth="1"/>
    <col min="3" max="10" width="14.109375" style="8" customWidth="1"/>
    <col min="11" max="13" width="8.6640625" style="8"/>
    <col min="14" max="43" width="8.6640625" style="3"/>
  </cols>
  <sheetData>
    <row r="1" spans="1:43" s="3" customFormat="1" ht="18" customHeight="1" x14ac:dyDescent="0.3">
      <c r="A1" s="1"/>
      <c r="B1" s="1"/>
      <c r="C1" s="2"/>
      <c r="D1" s="2"/>
      <c r="E1" s="2"/>
      <c r="F1" s="2"/>
      <c r="G1" s="2"/>
      <c r="H1" s="2"/>
      <c r="I1" s="2"/>
      <c r="J1" s="2"/>
      <c r="K1" s="2"/>
      <c r="L1" s="2"/>
      <c r="M1" s="2"/>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s="3" customFormat="1" ht="18" customHeight="1" x14ac:dyDescent="0.3">
      <c r="A2" s="1"/>
      <c r="B2" s="1"/>
      <c r="C2" s="2"/>
      <c r="D2" s="2"/>
      <c r="E2" s="2"/>
      <c r="F2" s="2"/>
      <c r="G2" s="2"/>
      <c r="H2" s="2"/>
      <c r="I2" s="2"/>
      <c r="J2" s="2"/>
      <c r="K2" s="2"/>
      <c r="L2" s="2"/>
      <c r="M2" s="2"/>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3" customFormat="1" ht="18" customHeight="1" x14ac:dyDescent="0.3">
      <c r="A3" s="1"/>
      <c r="B3" s="1"/>
      <c r="C3" s="2"/>
      <c r="D3" s="2"/>
      <c r="E3" s="2"/>
      <c r="F3" s="2"/>
      <c r="G3" s="2"/>
      <c r="H3" s="2"/>
      <c r="I3" s="2"/>
      <c r="J3" s="2"/>
      <c r="K3" s="2"/>
      <c r="L3" s="2"/>
      <c r="M3" s="2"/>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s="3" customFormat="1" ht="18" customHeight="1" x14ac:dyDescent="0.3">
      <c r="A4" s="1"/>
      <c r="B4" s="1"/>
      <c r="C4" s="2"/>
      <c r="D4" s="2"/>
      <c r="E4" s="2"/>
      <c r="F4" s="2"/>
      <c r="G4" s="2"/>
      <c r="H4" s="2"/>
      <c r="I4" s="2"/>
      <c r="J4" s="2"/>
      <c r="K4" s="2"/>
      <c r="L4" s="2"/>
      <c r="M4" s="2"/>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row>
    <row r="5" spans="1:43" s="3" customFormat="1" ht="18" customHeight="1" x14ac:dyDescent="0.3">
      <c r="A5" s="1"/>
      <c r="B5" s="1"/>
      <c r="C5" s="2"/>
      <c r="D5" s="2"/>
      <c r="E5" s="2"/>
      <c r="F5" s="2"/>
      <c r="G5" s="2"/>
      <c r="H5" s="2"/>
      <c r="I5" s="2"/>
      <c r="J5" s="2"/>
      <c r="K5" s="2"/>
      <c r="L5" s="2"/>
      <c r="M5" s="2"/>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row>
    <row r="6" spans="1:43" s="3" customFormat="1" ht="18" customHeight="1" x14ac:dyDescent="0.3">
      <c r="A6" s="1"/>
      <c r="B6" s="1"/>
      <c r="C6" s="2"/>
      <c r="D6" s="2"/>
      <c r="E6" s="2"/>
      <c r="F6" s="2"/>
      <c r="G6" s="2"/>
      <c r="H6" s="2"/>
      <c r="I6" s="2"/>
      <c r="J6" s="2"/>
      <c r="K6" s="2"/>
      <c r="L6" s="2"/>
      <c r="M6" s="2"/>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row>
    <row r="7" spans="1:43" ht="18" customHeight="1" thickBot="1" x14ac:dyDescent="0.35">
      <c r="A7" s="1"/>
      <c r="B7" s="88"/>
      <c r="C7" s="16">
        <v>2016</v>
      </c>
      <c r="D7" s="16">
        <f t="shared" ref="D7:J7" si="0">C7+1</f>
        <v>2017</v>
      </c>
      <c r="E7" s="16">
        <f t="shared" si="0"/>
        <v>2018</v>
      </c>
      <c r="F7" s="16">
        <f t="shared" si="0"/>
        <v>2019</v>
      </c>
      <c r="G7" s="16">
        <f t="shared" si="0"/>
        <v>2020</v>
      </c>
      <c r="H7" s="16">
        <f t="shared" si="0"/>
        <v>2021</v>
      </c>
      <c r="I7" s="16">
        <f t="shared" si="0"/>
        <v>2022</v>
      </c>
      <c r="J7" s="16">
        <f t="shared" si="0"/>
        <v>2023</v>
      </c>
      <c r="K7" s="2"/>
      <c r="L7" s="2"/>
      <c r="M7" s="2"/>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row>
    <row r="8" spans="1:43" ht="18" customHeight="1" x14ac:dyDescent="0.3">
      <c r="A8" s="1"/>
      <c r="B8" s="26" t="s">
        <v>120</v>
      </c>
      <c r="C8" s="27">
        <f t="shared" ref="C8:J8" si="1">SUM(C9:C10,C30)</f>
        <v>351380</v>
      </c>
      <c r="D8" s="27">
        <f t="shared" si="1"/>
        <v>595522</v>
      </c>
      <c r="E8" s="27">
        <f t="shared" si="1"/>
        <v>358536</v>
      </c>
      <c r="F8" s="27">
        <f t="shared" si="1"/>
        <v>851888</v>
      </c>
      <c r="G8" s="27">
        <f t="shared" si="1"/>
        <v>604648</v>
      </c>
      <c r="H8" s="27">
        <f t="shared" si="1"/>
        <v>480793</v>
      </c>
      <c r="I8" s="27">
        <f t="shared" si="1"/>
        <v>1090374</v>
      </c>
      <c r="J8" s="27">
        <f t="shared" si="1"/>
        <v>960251</v>
      </c>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row>
    <row r="9" spans="1:43" ht="18" customHeight="1" x14ac:dyDescent="0.3">
      <c r="A9" s="1"/>
      <c r="B9" s="12" t="s">
        <v>137</v>
      </c>
      <c r="C9" s="24">
        <v>-204914</v>
      </c>
      <c r="D9" s="24">
        <v>141547</v>
      </c>
      <c r="E9" s="24">
        <v>225550</v>
      </c>
      <c r="F9" s="24">
        <v>1422026</v>
      </c>
      <c r="G9" s="24">
        <v>-255673</v>
      </c>
      <c r="H9" s="24">
        <v>991</v>
      </c>
      <c r="I9" s="24">
        <v>-43276</v>
      </c>
      <c r="J9" s="24">
        <v>-34235</v>
      </c>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row>
    <row r="10" spans="1:43" ht="18" customHeight="1" x14ac:dyDescent="0.3">
      <c r="A10" s="1"/>
      <c r="B10" s="19" t="s">
        <v>101</v>
      </c>
      <c r="C10" s="27">
        <f t="shared" ref="C10:J10" si="2">SUM(C11:C29)</f>
        <v>563466</v>
      </c>
      <c r="D10" s="27">
        <f t="shared" si="2"/>
        <v>471261</v>
      </c>
      <c r="E10" s="27">
        <f t="shared" si="2"/>
        <v>377799</v>
      </c>
      <c r="F10" s="27">
        <f t="shared" si="2"/>
        <v>-527529</v>
      </c>
      <c r="G10" s="27">
        <f t="shared" si="2"/>
        <v>577459</v>
      </c>
      <c r="H10" s="27">
        <f t="shared" si="2"/>
        <v>561794</v>
      </c>
      <c r="I10" s="27">
        <f t="shared" si="2"/>
        <v>1060791</v>
      </c>
      <c r="J10" s="27">
        <f t="shared" si="2"/>
        <v>1449781</v>
      </c>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row>
    <row r="11" spans="1:43" ht="18" customHeight="1" x14ac:dyDescent="0.3">
      <c r="A11" s="1"/>
      <c r="B11" s="13" t="s">
        <v>102</v>
      </c>
      <c r="C11" s="24">
        <v>15480</v>
      </c>
      <c r="D11" s="24">
        <v>-2258</v>
      </c>
      <c r="E11" s="24">
        <v>318</v>
      </c>
      <c r="F11" s="24">
        <v>8377</v>
      </c>
      <c r="G11" s="24">
        <v>3213</v>
      </c>
      <c r="H11" s="24">
        <v>5626</v>
      </c>
      <c r="I11" s="24">
        <v>68527</v>
      </c>
      <c r="J11" s="24">
        <v>233482</v>
      </c>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row>
    <row r="12" spans="1:43" ht="18" customHeight="1" x14ac:dyDescent="0.3">
      <c r="A12" s="1"/>
      <c r="B12" s="13" t="s">
        <v>103</v>
      </c>
      <c r="C12" s="24">
        <v>2440</v>
      </c>
      <c r="D12" s="24">
        <v>-4841</v>
      </c>
      <c r="E12" s="24">
        <v>1463</v>
      </c>
      <c r="F12" s="24">
        <v>-1988</v>
      </c>
      <c r="G12" s="24">
        <v>-4811</v>
      </c>
      <c r="H12" s="24">
        <v>1511</v>
      </c>
      <c r="I12" s="24">
        <v>-480</v>
      </c>
      <c r="J12" s="24">
        <v>-3815</v>
      </c>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row>
    <row r="13" spans="1:43" ht="18" customHeight="1" x14ac:dyDescent="0.3">
      <c r="A13" s="1"/>
      <c r="B13" s="13" t="s">
        <v>104</v>
      </c>
      <c r="C13" s="24">
        <v>0</v>
      </c>
      <c r="D13" s="24">
        <v>0</v>
      </c>
      <c r="E13" s="24">
        <v>0</v>
      </c>
      <c r="F13" s="24">
        <v>1131</v>
      </c>
      <c r="G13" s="24">
        <v>7728</v>
      </c>
      <c r="H13" s="24">
        <v>8486</v>
      </c>
      <c r="I13" s="24">
        <v>9780</v>
      </c>
      <c r="J13" s="24">
        <v>12238</v>
      </c>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row>
    <row r="14" spans="1:43" ht="18" customHeight="1" x14ac:dyDescent="0.3">
      <c r="A14" s="1"/>
      <c r="B14" s="13" t="s">
        <v>105</v>
      </c>
      <c r="C14" s="41">
        <v>48308</v>
      </c>
      <c r="D14" s="41">
        <v>59706</v>
      </c>
      <c r="E14" s="41">
        <v>53013</v>
      </c>
      <c r="F14" s="41">
        <v>38836</v>
      </c>
      <c r="G14" s="41">
        <v>45758</v>
      </c>
      <c r="H14" s="41">
        <v>52792</v>
      </c>
      <c r="I14" s="41">
        <v>63139</v>
      </c>
      <c r="J14" s="41">
        <v>78027</v>
      </c>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row>
    <row r="15" spans="1:43" ht="18" customHeight="1" x14ac:dyDescent="0.3">
      <c r="A15" s="1"/>
      <c r="B15" s="13" t="s">
        <v>106</v>
      </c>
      <c r="C15" s="24">
        <v>0</v>
      </c>
      <c r="D15" s="24">
        <v>0</v>
      </c>
      <c r="E15" s="24">
        <v>0</v>
      </c>
      <c r="F15" s="24">
        <v>-1282030</v>
      </c>
      <c r="G15" s="24">
        <v>-233720</v>
      </c>
      <c r="H15" s="24">
        <v>-312738</v>
      </c>
      <c r="I15" s="24">
        <v>-225271</v>
      </c>
      <c r="J15" s="24">
        <v>-67821</v>
      </c>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row>
    <row r="16" spans="1:43" ht="18" customHeight="1" x14ac:dyDescent="0.3">
      <c r="A16" s="1"/>
      <c r="B16" s="13" t="s">
        <v>107</v>
      </c>
      <c r="C16" s="24">
        <v>0</v>
      </c>
      <c r="D16" s="24">
        <v>0</v>
      </c>
      <c r="E16" s="24">
        <v>0</v>
      </c>
      <c r="F16" s="24">
        <v>0</v>
      </c>
      <c r="G16" s="24">
        <v>0</v>
      </c>
      <c r="H16" s="24">
        <v>0</v>
      </c>
      <c r="I16" s="24">
        <v>0</v>
      </c>
      <c r="J16" s="24">
        <v>0</v>
      </c>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row>
    <row r="17" spans="1:43" ht="18" customHeight="1" x14ac:dyDescent="0.3">
      <c r="A17" s="1"/>
      <c r="B17" s="13" t="s">
        <v>40</v>
      </c>
      <c r="C17" s="24">
        <v>202684</v>
      </c>
      <c r="D17" s="24">
        <v>197897</v>
      </c>
      <c r="E17" s="24">
        <v>205224</v>
      </c>
      <c r="F17" s="24">
        <v>233043</v>
      </c>
      <c r="G17" s="24">
        <v>246332</v>
      </c>
      <c r="H17" s="24">
        <v>246655</v>
      </c>
      <c r="I17" s="24">
        <v>295060</v>
      </c>
      <c r="J17" s="24">
        <v>367653</v>
      </c>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row>
    <row r="18" spans="1:43" ht="18" customHeight="1" x14ac:dyDescent="0.3">
      <c r="A18" s="1"/>
      <c r="B18" s="13" t="s">
        <v>108</v>
      </c>
      <c r="C18" s="24">
        <v>-47715</v>
      </c>
      <c r="D18" s="24">
        <v>8849</v>
      </c>
      <c r="E18" s="24">
        <v>-24561</v>
      </c>
      <c r="F18" s="24">
        <v>-11264</v>
      </c>
      <c r="G18" s="24">
        <v>-6150</v>
      </c>
      <c r="H18" s="24">
        <v>-3900</v>
      </c>
      <c r="I18" s="24">
        <v>-6141</v>
      </c>
      <c r="J18" s="24">
        <v>-3816</v>
      </c>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row>
    <row r="19" spans="1:43" ht="18" customHeight="1" x14ac:dyDescent="0.3">
      <c r="A19" s="1"/>
      <c r="B19" s="13" t="s">
        <v>143</v>
      </c>
      <c r="C19" s="24">
        <v>53157</v>
      </c>
      <c r="D19" s="24">
        <v>20398</v>
      </c>
      <c r="E19" s="24">
        <v>38504</v>
      </c>
      <c r="F19" s="24">
        <v>19767</v>
      </c>
      <c r="G19" s="24">
        <v>7591</v>
      </c>
      <c r="H19" s="24">
        <v>4632</v>
      </c>
      <c r="I19" s="24">
        <v>8594</v>
      </c>
      <c r="J19" s="24">
        <v>9411</v>
      </c>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row>
    <row r="20" spans="1:43" ht="18" customHeight="1" x14ac:dyDescent="0.3">
      <c r="A20" s="1"/>
      <c r="B20" s="13" t="s">
        <v>109</v>
      </c>
      <c r="C20" s="24">
        <v>0</v>
      </c>
      <c r="D20" s="24">
        <v>0</v>
      </c>
      <c r="E20" s="24">
        <v>0</v>
      </c>
      <c r="F20" s="24">
        <v>295675</v>
      </c>
      <c r="G20" s="24">
        <v>306443</v>
      </c>
      <c r="H20" s="24">
        <v>338325</v>
      </c>
      <c r="I20" s="24">
        <v>381532</v>
      </c>
      <c r="J20" s="24">
        <v>373419</v>
      </c>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row>
    <row r="21" spans="1:43" ht="18" customHeight="1" x14ac:dyDescent="0.3">
      <c r="A21" s="1"/>
      <c r="B21" s="13" t="s">
        <v>110</v>
      </c>
      <c r="C21" s="24">
        <v>0</v>
      </c>
      <c r="D21" s="24">
        <v>0</v>
      </c>
      <c r="E21" s="24">
        <v>0</v>
      </c>
      <c r="F21" s="24">
        <v>0</v>
      </c>
      <c r="G21" s="24">
        <v>0</v>
      </c>
      <c r="H21" s="24">
        <v>0</v>
      </c>
      <c r="I21" s="24">
        <v>-6577</v>
      </c>
      <c r="J21" s="24">
        <v>-2582</v>
      </c>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row>
    <row r="22" spans="1:43" ht="18" customHeight="1" x14ac:dyDescent="0.3">
      <c r="A22" s="1"/>
      <c r="B22" s="13" t="s">
        <v>44</v>
      </c>
      <c r="C22" s="24">
        <v>0</v>
      </c>
      <c r="D22" s="24">
        <v>0</v>
      </c>
      <c r="E22" s="24">
        <v>0</v>
      </c>
      <c r="F22" s="24">
        <v>142138</v>
      </c>
      <c r="G22" s="24">
        <v>139120</v>
      </c>
      <c r="H22" s="24">
        <v>144151</v>
      </c>
      <c r="I22" s="24">
        <v>165719</v>
      </c>
      <c r="J22" s="24">
        <v>173079</v>
      </c>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row>
    <row r="23" spans="1:43" ht="18" customHeight="1" x14ac:dyDescent="0.3">
      <c r="A23" s="1"/>
      <c r="B23" s="13" t="s">
        <v>111</v>
      </c>
      <c r="C23" s="24">
        <v>96056</v>
      </c>
      <c r="D23" s="24">
        <v>69318</v>
      </c>
      <c r="E23" s="24">
        <v>41149</v>
      </c>
      <c r="F23" s="24">
        <v>60749</v>
      </c>
      <c r="G23" s="24">
        <v>35802</v>
      </c>
      <c r="H23" s="24">
        <v>82181</v>
      </c>
      <c r="I23" s="24">
        <v>272449</v>
      </c>
      <c r="J23" s="24">
        <v>255421</v>
      </c>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row>
    <row r="24" spans="1:43" ht="18" customHeight="1" x14ac:dyDescent="0.3">
      <c r="A24" s="1"/>
      <c r="B24" s="13" t="s">
        <v>112</v>
      </c>
      <c r="C24" s="24">
        <v>0</v>
      </c>
      <c r="D24" s="24">
        <v>0</v>
      </c>
      <c r="E24" s="24">
        <v>0</v>
      </c>
      <c r="F24" s="24">
        <v>0</v>
      </c>
      <c r="G24" s="24">
        <v>2036</v>
      </c>
      <c r="H24" s="24">
        <v>2369</v>
      </c>
      <c r="I24" s="24">
        <v>4247</v>
      </c>
      <c r="J24" s="24">
        <v>5188</v>
      </c>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row>
    <row r="25" spans="1:43" ht="18" customHeight="1" x14ac:dyDescent="0.3">
      <c r="A25" s="1"/>
      <c r="B25" s="13" t="s">
        <v>113</v>
      </c>
      <c r="C25" s="24">
        <v>34731</v>
      </c>
      <c r="D25" s="24">
        <v>50795</v>
      </c>
      <c r="E25" s="24">
        <v>973</v>
      </c>
      <c r="F25" s="24">
        <v>-38047</v>
      </c>
      <c r="G25" s="24">
        <v>29538</v>
      </c>
      <c r="H25" s="24">
        <v>-5662</v>
      </c>
      <c r="I25" s="24">
        <v>42144</v>
      </c>
      <c r="J25" s="24">
        <v>28201</v>
      </c>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row>
    <row r="26" spans="1:43" ht="18" customHeight="1" x14ac:dyDescent="0.3">
      <c r="A26" s="1"/>
      <c r="B26" s="13" t="s">
        <v>114</v>
      </c>
      <c r="C26" s="24">
        <v>-2599</v>
      </c>
      <c r="D26" s="24">
        <v>-2250</v>
      </c>
      <c r="E26" s="24">
        <v>-1353</v>
      </c>
      <c r="F26" s="24">
        <v>-2887</v>
      </c>
      <c r="G26" s="24">
        <v>-1421</v>
      </c>
      <c r="H26" s="24">
        <v>-2635</v>
      </c>
      <c r="I26" s="24">
        <v>-10972</v>
      </c>
      <c r="J26" s="24">
        <v>-9590</v>
      </c>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row>
    <row r="27" spans="1:43" ht="18" customHeight="1" x14ac:dyDescent="0.3">
      <c r="A27" s="1"/>
      <c r="B27" s="13" t="s">
        <v>115</v>
      </c>
      <c r="C27" s="24">
        <v>0</v>
      </c>
      <c r="D27" s="24">
        <v>0</v>
      </c>
      <c r="E27" s="24">
        <v>0</v>
      </c>
      <c r="F27" s="24">
        <v>0</v>
      </c>
      <c r="G27" s="24">
        <v>0</v>
      </c>
      <c r="H27" s="24">
        <v>0</v>
      </c>
      <c r="I27" s="24">
        <v>-959</v>
      </c>
      <c r="J27" s="24">
        <v>1286</v>
      </c>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row>
    <row r="28" spans="1:43" ht="18" customHeight="1" x14ac:dyDescent="0.3">
      <c r="A28" s="1"/>
      <c r="B28" s="13" t="s">
        <v>138</v>
      </c>
      <c r="C28" s="24">
        <v>-219353</v>
      </c>
      <c r="D28" s="24">
        <v>26262</v>
      </c>
      <c r="E28" s="24">
        <v>86273</v>
      </c>
      <c r="F28" s="24">
        <v>-32372</v>
      </c>
      <c r="G28" s="24">
        <v>0</v>
      </c>
      <c r="H28" s="24">
        <v>0</v>
      </c>
      <c r="I28" s="24">
        <v>0</v>
      </c>
      <c r="J28" s="24">
        <v>0</v>
      </c>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row>
    <row r="29" spans="1:43" ht="18" customHeight="1" x14ac:dyDescent="0.3">
      <c r="A29" s="1"/>
      <c r="B29" s="13" t="s">
        <v>91</v>
      </c>
      <c r="C29" s="24">
        <v>380277</v>
      </c>
      <c r="D29" s="24">
        <v>47385</v>
      </c>
      <c r="E29" s="24">
        <v>-23204</v>
      </c>
      <c r="F29" s="24">
        <v>41343</v>
      </c>
      <c r="G29" s="24">
        <v>0</v>
      </c>
      <c r="H29" s="24">
        <v>1</v>
      </c>
      <c r="I29" s="24">
        <v>0</v>
      </c>
      <c r="J29" s="24">
        <v>0</v>
      </c>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row>
    <row r="30" spans="1:43" ht="18" customHeight="1" x14ac:dyDescent="0.3">
      <c r="A30" s="1"/>
      <c r="B30" s="19" t="s">
        <v>71</v>
      </c>
      <c r="C30" s="27">
        <f t="shared" ref="C30:H30" si="3">SUM(C31:C44)</f>
        <v>-7172</v>
      </c>
      <c r="D30" s="27">
        <f t="shared" si="3"/>
        <v>-17286</v>
      </c>
      <c r="E30" s="27">
        <f t="shared" si="3"/>
        <v>-244813</v>
      </c>
      <c r="F30" s="27">
        <f t="shared" si="3"/>
        <v>-42609</v>
      </c>
      <c r="G30" s="27">
        <f t="shared" si="3"/>
        <v>282862</v>
      </c>
      <c r="H30" s="27">
        <f t="shared" si="3"/>
        <v>-81992</v>
      </c>
      <c r="I30" s="27">
        <f>SUM(I31:I44)</f>
        <v>72859</v>
      </c>
      <c r="J30" s="27">
        <f>SUM(J31:J44)</f>
        <v>-455295</v>
      </c>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row>
    <row r="31" spans="1:43" ht="18" customHeight="1" x14ac:dyDescent="0.3">
      <c r="A31" s="1"/>
      <c r="B31" s="13" t="s">
        <v>72</v>
      </c>
      <c r="C31" s="24">
        <v>-115530</v>
      </c>
      <c r="D31" s="24">
        <v>-44495</v>
      </c>
      <c r="E31" s="24">
        <v>-73439</v>
      </c>
      <c r="F31" s="24">
        <v>-14471</v>
      </c>
      <c r="G31" s="24">
        <v>88917</v>
      </c>
      <c r="H31" s="24">
        <v>-98717</v>
      </c>
      <c r="I31" s="24">
        <v>-206909</v>
      </c>
      <c r="J31" s="24">
        <v>-725883</v>
      </c>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row>
    <row r="32" spans="1:43" ht="18" customHeight="1" x14ac:dyDescent="0.3">
      <c r="A32" s="1"/>
      <c r="B32" s="13" t="s">
        <v>77</v>
      </c>
      <c r="C32" s="24">
        <v>-58945</v>
      </c>
      <c r="D32" s="24">
        <v>2606</v>
      </c>
      <c r="E32" s="24">
        <v>-14561</v>
      </c>
      <c r="F32" s="24">
        <v>10433</v>
      </c>
      <c r="G32" s="24">
        <v>-34521</v>
      </c>
      <c r="H32" s="24">
        <v>23737</v>
      </c>
      <c r="I32" s="24">
        <v>-14959</v>
      </c>
      <c r="J32" s="24">
        <v>28129</v>
      </c>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row>
    <row r="33" spans="1:43" ht="18" customHeight="1" x14ac:dyDescent="0.3">
      <c r="A33" s="1"/>
      <c r="B33" s="13" t="s">
        <v>6</v>
      </c>
      <c r="C33" s="24">
        <v>97376</v>
      </c>
      <c r="D33" s="24">
        <v>-5770</v>
      </c>
      <c r="E33" s="24">
        <v>-64200</v>
      </c>
      <c r="F33" s="24">
        <v>-92939</v>
      </c>
      <c r="G33" s="24">
        <v>-142061</v>
      </c>
      <c r="H33" s="24">
        <v>-261041</v>
      </c>
      <c r="I33" s="24">
        <v>-65903</v>
      </c>
      <c r="J33" s="24">
        <v>-106040</v>
      </c>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row>
    <row r="34" spans="1:43" ht="18" customHeight="1" x14ac:dyDescent="0.3">
      <c r="A34" s="1"/>
      <c r="B34" s="13" t="s">
        <v>7</v>
      </c>
      <c r="C34" s="24">
        <v>51814</v>
      </c>
      <c r="D34" s="24">
        <v>-17821</v>
      </c>
      <c r="E34" s="24">
        <v>27952</v>
      </c>
      <c r="F34" s="24">
        <v>23372</v>
      </c>
      <c r="G34" s="24">
        <v>148488</v>
      </c>
      <c r="H34" s="24">
        <v>63822</v>
      </c>
      <c r="I34" s="24">
        <v>77400</v>
      </c>
      <c r="J34" s="24">
        <v>318335</v>
      </c>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row>
    <row r="35" spans="1:43" ht="18" customHeight="1" x14ac:dyDescent="0.3">
      <c r="A35" s="1"/>
      <c r="B35" s="13" t="s">
        <v>79</v>
      </c>
      <c r="C35" s="24">
        <v>6170</v>
      </c>
      <c r="D35" s="24">
        <v>-1618</v>
      </c>
      <c r="E35" s="24">
        <v>-1312</v>
      </c>
      <c r="F35" s="24">
        <v>-2744</v>
      </c>
      <c r="G35" s="24">
        <v>-2030</v>
      </c>
      <c r="H35" s="24">
        <v>-18391</v>
      </c>
      <c r="I35" s="24">
        <v>-5852</v>
      </c>
      <c r="J35" s="24">
        <v>-13259</v>
      </c>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row>
    <row r="36" spans="1:43" ht="18" customHeight="1" x14ac:dyDescent="0.3">
      <c r="A36" s="1"/>
      <c r="B36" s="13" t="s">
        <v>116</v>
      </c>
      <c r="C36" s="24">
        <v>0</v>
      </c>
      <c r="D36" s="24">
        <v>0</v>
      </c>
      <c r="E36" s="24">
        <v>0</v>
      </c>
      <c r="F36" s="24">
        <v>0</v>
      </c>
      <c r="G36" s="24">
        <v>0</v>
      </c>
      <c r="H36" s="24">
        <v>0</v>
      </c>
      <c r="I36" s="24">
        <v>0</v>
      </c>
      <c r="J36" s="24">
        <v>-184138</v>
      </c>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row>
    <row r="37" spans="1:43" ht="18" customHeight="1" x14ac:dyDescent="0.3">
      <c r="A37" s="1"/>
      <c r="B37" s="13" t="s">
        <v>74</v>
      </c>
      <c r="C37" s="24">
        <v>6686</v>
      </c>
      <c r="D37" s="24">
        <v>-1806</v>
      </c>
      <c r="E37" s="24">
        <v>-50321</v>
      </c>
      <c r="F37" s="24">
        <v>-4363</v>
      </c>
      <c r="G37" s="24">
        <v>7273</v>
      </c>
      <c r="H37" s="24">
        <v>-8854</v>
      </c>
      <c r="I37" s="24">
        <v>785</v>
      </c>
      <c r="J37" s="24">
        <v>15551</v>
      </c>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row>
    <row r="38" spans="1:43" ht="18" customHeight="1" x14ac:dyDescent="0.3">
      <c r="A38" s="1"/>
      <c r="B38" s="13" t="s">
        <v>17</v>
      </c>
      <c r="C38" s="24">
        <v>32950</v>
      </c>
      <c r="D38" s="24">
        <v>65732</v>
      </c>
      <c r="E38" s="24">
        <v>-2707</v>
      </c>
      <c r="F38" s="24">
        <v>126507</v>
      </c>
      <c r="G38" s="24">
        <v>337372</v>
      </c>
      <c r="H38" s="24">
        <v>133679</v>
      </c>
      <c r="I38" s="24">
        <v>145501</v>
      </c>
      <c r="J38" s="24">
        <v>270028</v>
      </c>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row>
    <row r="39" spans="1:43" ht="18" customHeight="1" x14ac:dyDescent="0.3">
      <c r="A39" s="1"/>
      <c r="B39" s="13" t="s">
        <v>117</v>
      </c>
      <c r="C39" s="24">
        <v>0</v>
      </c>
      <c r="D39" s="24">
        <v>0</v>
      </c>
      <c r="E39" s="24">
        <v>0</v>
      </c>
      <c r="F39" s="24">
        <v>0</v>
      </c>
      <c r="G39" s="24">
        <v>0</v>
      </c>
      <c r="H39" s="24">
        <v>0</v>
      </c>
      <c r="I39" s="24">
        <v>0</v>
      </c>
      <c r="J39" s="24">
        <v>-21557</v>
      </c>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row>
    <row r="40" spans="1:43" ht="18" customHeight="1" x14ac:dyDescent="0.3">
      <c r="A40" s="1"/>
      <c r="B40" s="13" t="s">
        <v>93</v>
      </c>
      <c r="C40" s="24">
        <v>15570</v>
      </c>
      <c r="D40" s="24">
        <v>31278</v>
      </c>
      <c r="E40" s="24">
        <v>-5857</v>
      </c>
      <c r="F40" s="24">
        <v>-2881</v>
      </c>
      <c r="G40" s="24">
        <v>8469</v>
      </c>
      <c r="H40" s="24">
        <v>20577</v>
      </c>
      <c r="I40" s="24">
        <v>44957</v>
      </c>
      <c r="J40" s="24">
        <v>44002</v>
      </c>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row>
    <row r="41" spans="1:43" ht="18" customHeight="1" x14ac:dyDescent="0.3">
      <c r="A41" s="1"/>
      <c r="B41" s="13" t="s">
        <v>92</v>
      </c>
      <c r="C41" s="24">
        <v>-37668</v>
      </c>
      <c r="D41" s="24">
        <v>-2364</v>
      </c>
      <c r="E41" s="24">
        <v>-1263</v>
      </c>
      <c r="F41" s="24">
        <v>-15205</v>
      </c>
      <c r="G41" s="24">
        <v>4494</v>
      </c>
      <c r="H41" s="24">
        <v>8418</v>
      </c>
      <c r="I41" s="24">
        <v>44377</v>
      </c>
      <c r="J41" s="24">
        <v>-21578</v>
      </c>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row>
    <row r="42" spans="1:43" ht="18" customHeight="1" x14ac:dyDescent="0.3">
      <c r="A42" s="1"/>
      <c r="B42" s="13" t="s">
        <v>118</v>
      </c>
      <c r="C42" s="24">
        <v>0</v>
      </c>
      <c r="D42" s="24">
        <v>-47160</v>
      </c>
      <c r="E42" s="24">
        <v>-23194</v>
      </c>
      <c r="F42" s="24">
        <v>-17556</v>
      </c>
      <c r="G42" s="24">
        <v>-18785</v>
      </c>
      <c r="H42" s="24">
        <v>-23870</v>
      </c>
      <c r="I42" s="24">
        <v>-17989</v>
      </c>
      <c r="J42" s="24">
        <v>-18399</v>
      </c>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row>
    <row r="43" spans="1:43" ht="18" customHeight="1" x14ac:dyDescent="0.3">
      <c r="A43" s="1"/>
      <c r="B43" s="13" t="s">
        <v>119</v>
      </c>
      <c r="C43" s="24">
        <v>-6623</v>
      </c>
      <c r="D43" s="24">
        <v>5912</v>
      </c>
      <c r="E43" s="24">
        <v>-30496</v>
      </c>
      <c r="F43" s="24">
        <v>-33815</v>
      </c>
      <c r="G43" s="24">
        <v>-92849</v>
      </c>
      <c r="H43" s="24">
        <v>80454</v>
      </c>
      <c r="I43" s="24">
        <v>91221</v>
      </c>
      <c r="J43" s="24">
        <v>-12965</v>
      </c>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row>
    <row r="44" spans="1:43" ht="18" customHeight="1" x14ac:dyDescent="0.3">
      <c r="A44" s="1"/>
      <c r="B44" s="13" t="s">
        <v>136</v>
      </c>
      <c r="C44" s="24">
        <v>1028</v>
      </c>
      <c r="D44" s="24">
        <v>-1780</v>
      </c>
      <c r="E44" s="24">
        <v>-5415</v>
      </c>
      <c r="F44" s="24">
        <v>-18947</v>
      </c>
      <c r="G44" s="24">
        <v>-21905</v>
      </c>
      <c r="H44" s="24">
        <v>-1806</v>
      </c>
      <c r="I44" s="24">
        <v>-19770</v>
      </c>
      <c r="J44" s="24">
        <v>-27521</v>
      </c>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row>
    <row r="45" spans="1:43" ht="18" customHeight="1" x14ac:dyDescent="0.3">
      <c r="A45" s="1"/>
      <c r="B45" s="26" t="s">
        <v>126</v>
      </c>
      <c r="C45" s="27">
        <f t="shared" ref="C45:J45" si="4">SUM(C46:C50)</f>
        <v>-118616</v>
      </c>
      <c r="D45" s="27">
        <f t="shared" si="4"/>
        <v>-90148</v>
      </c>
      <c r="E45" s="27">
        <f t="shared" si="4"/>
        <v>-246408</v>
      </c>
      <c r="F45" s="27">
        <f t="shared" si="4"/>
        <v>-321306</v>
      </c>
      <c r="G45" s="27">
        <f t="shared" si="4"/>
        <v>-259999</v>
      </c>
      <c r="H45" s="27">
        <f t="shared" si="4"/>
        <v>-571324</v>
      </c>
      <c r="I45" s="27">
        <f t="shared" si="4"/>
        <v>-471588</v>
      </c>
      <c r="J45" s="27">
        <f t="shared" si="4"/>
        <v>-234423</v>
      </c>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row>
    <row r="46" spans="1:43" ht="18" customHeight="1" x14ac:dyDescent="0.3">
      <c r="A46" s="1"/>
      <c r="B46" s="12" t="s">
        <v>121</v>
      </c>
      <c r="C46" s="24">
        <v>-118616</v>
      </c>
      <c r="D46" s="24">
        <v>-90373</v>
      </c>
      <c r="E46" s="24">
        <v>-246459</v>
      </c>
      <c r="F46" s="24">
        <v>-321306</v>
      </c>
      <c r="G46" s="24">
        <v>-260090</v>
      </c>
      <c r="H46" s="24">
        <v>-571406</v>
      </c>
      <c r="I46" s="24">
        <v>-193203</v>
      </c>
      <c r="J46" s="24">
        <v>-74161</v>
      </c>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row>
    <row r="47" spans="1:43" ht="18" customHeight="1" x14ac:dyDescent="0.3">
      <c r="A47" s="1"/>
      <c r="B47" s="12" t="s">
        <v>122</v>
      </c>
      <c r="C47" s="24">
        <v>0</v>
      </c>
      <c r="D47" s="24">
        <v>0</v>
      </c>
      <c r="E47" s="24">
        <v>0</v>
      </c>
      <c r="F47" s="24">
        <v>0</v>
      </c>
      <c r="G47" s="24">
        <v>0</v>
      </c>
      <c r="H47" s="24">
        <v>0</v>
      </c>
      <c r="I47" s="24">
        <v>-278765</v>
      </c>
      <c r="J47" s="24">
        <v>-161805</v>
      </c>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row>
    <row r="48" spans="1:43" ht="18" customHeight="1" x14ac:dyDescent="0.3">
      <c r="A48" s="1"/>
      <c r="B48" s="12" t="s">
        <v>124</v>
      </c>
      <c r="C48" s="24">
        <v>0</v>
      </c>
      <c r="D48" s="24">
        <v>0</v>
      </c>
      <c r="E48" s="24">
        <v>0</v>
      </c>
      <c r="F48" s="24">
        <v>0</v>
      </c>
      <c r="G48" s="24">
        <v>0</v>
      </c>
      <c r="H48" s="24">
        <v>0</v>
      </c>
      <c r="I48" s="24">
        <v>0</v>
      </c>
      <c r="J48" s="24">
        <v>0</v>
      </c>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row>
    <row r="49" spans="1:43" ht="18" customHeight="1" x14ac:dyDescent="0.3">
      <c r="A49" s="1"/>
      <c r="B49" s="12" t="s">
        <v>123</v>
      </c>
      <c r="C49" s="24">
        <v>0</v>
      </c>
      <c r="D49" s="24">
        <v>0</v>
      </c>
      <c r="E49" s="24">
        <v>0</v>
      </c>
      <c r="F49" s="24">
        <v>0</v>
      </c>
      <c r="G49" s="24">
        <v>0</v>
      </c>
      <c r="H49" s="24">
        <v>0</v>
      </c>
      <c r="I49" s="24">
        <v>0</v>
      </c>
      <c r="J49" s="24">
        <v>0</v>
      </c>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row>
    <row r="50" spans="1:43" ht="18" customHeight="1" x14ac:dyDescent="0.3">
      <c r="A50" s="1"/>
      <c r="B50" s="12" t="s">
        <v>125</v>
      </c>
      <c r="C50" s="24">
        <v>0</v>
      </c>
      <c r="D50" s="24">
        <v>225</v>
      </c>
      <c r="E50" s="24">
        <v>51</v>
      </c>
      <c r="F50" s="24">
        <v>0</v>
      </c>
      <c r="G50" s="24">
        <v>91</v>
      </c>
      <c r="H50" s="24">
        <v>82</v>
      </c>
      <c r="I50" s="24">
        <v>380</v>
      </c>
      <c r="J50" s="24">
        <v>1543</v>
      </c>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row>
    <row r="51" spans="1:43" ht="18" customHeight="1" x14ac:dyDescent="0.3">
      <c r="A51" s="1"/>
      <c r="B51" s="26" t="s">
        <v>132</v>
      </c>
      <c r="C51" s="27">
        <f>SUM(C52:C62)</f>
        <v>42872</v>
      </c>
      <c r="D51" s="27">
        <f t="shared" ref="D51:J51" si="5">SUM(D52:D62)</f>
        <v>-563320</v>
      </c>
      <c r="E51" s="27">
        <f t="shared" si="5"/>
        <v>-97881</v>
      </c>
      <c r="F51" s="27">
        <f t="shared" si="5"/>
        <v>-529479</v>
      </c>
      <c r="G51" s="27">
        <f t="shared" si="5"/>
        <v>717401</v>
      </c>
      <c r="H51" s="27">
        <f t="shared" si="5"/>
        <v>-360601</v>
      </c>
      <c r="I51" s="27">
        <f t="shared" si="5"/>
        <v>5054</v>
      </c>
      <c r="J51" s="27">
        <f t="shared" si="5"/>
        <v>-1244331</v>
      </c>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row>
    <row r="52" spans="1:43" ht="18" customHeight="1" x14ac:dyDescent="0.3">
      <c r="A52" s="1"/>
      <c r="B52" s="12" t="s">
        <v>139</v>
      </c>
      <c r="C52" s="24">
        <v>200000</v>
      </c>
      <c r="D52" s="24">
        <v>145008</v>
      </c>
      <c r="E52" s="24">
        <v>0</v>
      </c>
      <c r="F52" s="24">
        <v>813699</v>
      </c>
      <c r="G52" s="24">
        <v>0</v>
      </c>
      <c r="H52" s="24">
        <v>0</v>
      </c>
      <c r="I52" s="25">
        <v>0</v>
      </c>
      <c r="J52" s="25">
        <v>0</v>
      </c>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row>
    <row r="53" spans="1:43" ht="18" customHeight="1" x14ac:dyDescent="0.3">
      <c r="A53" s="1"/>
      <c r="B53" s="12" t="s">
        <v>140</v>
      </c>
      <c r="C53" s="24">
        <v>0</v>
      </c>
      <c r="D53" s="24">
        <v>0</v>
      </c>
      <c r="E53" s="24">
        <v>0</v>
      </c>
      <c r="F53" s="24">
        <v>-2242</v>
      </c>
      <c r="G53" s="24">
        <v>0</v>
      </c>
      <c r="H53" s="24">
        <v>0</v>
      </c>
      <c r="I53" s="25">
        <v>0</v>
      </c>
      <c r="J53" s="25">
        <v>0</v>
      </c>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row>
    <row r="54" spans="1:43" ht="18" customHeight="1" x14ac:dyDescent="0.3">
      <c r="A54" s="1"/>
      <c r="B54" s="12" t="s">
        <v>127</v>
      </c>
      <c r="C54" s="24">
        <v>322400</v>
      </c>
      <c r="D54" s="24">
        <v>910420</v>
      </c>
      <c r="E54" s="24">
        <v>835432</v>
      </c>
      <c r="F54" s="24">
        <v>508000</v>
      </c>
      <c r="G54" s="24">
        <v>1200000</v>
      </c>
      <c r="H54" s="24">
        <v>515347</v>
      </c>
      <c r="I54" s="24">
        <v>1291249</v>
      </c>
      <c r="J54" s="24">
        <v>381372</v>
      </c>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row>
    <row r="55" spans="1:43" ht="18" customHeight="1" x14ac:dyDescent="0.3">
      <c r="A55" s="23"/>
      <c r="B55" s="12" t="s">
        <v>128</v>
      </c>
      <c r="C55" s="24"/>
      <c r="D55" s="24"/>
      <c r="E55" s="24"/>
      <c r="F55" s="24">
        <v>0</v>
      </c>
      <c r="G55" s="24">
        <v>-4994</v>
      </c>
      <c r="H55" s="24">
        <v>-3812</v>
      </c>
      <c r="I55" s="24">
        <f>-7574</f>
        <v>-7574</v>
      </c>
      <c r="J55" s="24">
        <v>-4983</v>
      </c>
      <c r="K55" s="7"/>
      <c r="L55" s="4"/>
      <c r="M55" s="4"/>
      <c r="N55" s="1"/>
      <c r="O55" s="1"/>
      <c r="P55" s="5"/>
      <c r="Q55" s="5"/>
      <c r="R55" s="5"/>
      <c r="S55" s="1"/>
      <c r="T55" s="1"/>
      <c r="U55" s="1"/>
      <c r="V55" s="1"/>
      <c r="W55" s="1"/>
      <c r="X55" s="1"/>
      <c r="Y55" s="1"/>
      <c r="Z55" s="1"/>
      <c r="AA55" s="1"/>
      <c r="AB55" s="1"/>
      <c r="AC55" s="1"/>
      <c r="AD55" s="1"/>
      <c r="AE55" s="1"/>
      <c r="AF55" s="1"/>
      <c r="AG55" s="1"/>
      <c r="AH55" s="1"/>
      <c r="AI55" s="1"/>
      <c r="AJ55" s="1"/>
      <c r="AK55" s="1"/>
      <c r="AL55" s="1"/>
      <c r="AM55" s="1"/>
      <c r="AN55" s="1"/>
      <c r="AO55" s="1"/>
      <c r="AP55" s="1"/>
      <c r="AQ55" s="1"/>
    </row>
    <row r="56" spans="1:43" ht="18" customHeight="1" x14ac:dyDescent="0.3">
      <c r="A56" s="23"/>
      <c r="B56" s="12" t="s">
        <v>129</v>
      </c>
      <c r="C56" s="24">
        <v>-322400</v>
      </c>
      <c r="D56" s="24">
        <v>-1401647</v>
      </c>
      <c r="E56" s="24">
        <v>-861721</v>
      </c>
      <c r="F56" s="24">
        <v>-1373038</v>
      </c>
      <c r="G56" s="24">
        <v>-11000</v>
      </c>
      <c r="H56" s="24">
        <v>-381500</v>
      </c>
      <c r="I56" s="24">
        <v>-590042</v>
      </c>
      <c r="J56" s="24">
        <v>-745429</v>
      </c>
      <c r="K56" s="7"/>
      <c r="L56" s="4"/>
      <c r="M56" s="4"/>
      <c r="N56" s="1"/>
      <c r="O56" s="1"/>
      <c r="P56" s="5"/>
      <c r="Q56" s="5"/>
      <c r="R56" s="5"/>
      <c r="S56" s="1"/>
      <c r="T56" s="1"/>
      <c r="U56" s="1"/>
      <c r="V56" s="1"/>
      <c r="W56" s="1"/>
      <c r="X56" s="1"/>
      <c r="Y56" s="1"/>
      <c r="Z56" s="1"/>
      <c r="AA56" s="1"/>
      <c r="AB56" s="1"/>
      <c r="AC56" s="1"/>
      <c r="AD56" s="1"/>
      <c r="AE56" s="1"/>
      <c r="AF56" s="1"/>
      <c r="AG56" s="1"/>
      <c r="AH56" s="1"/>
      <c r="AI56" s="1"/>
      <c r="AJ56" s="1"/>
      <c r="AK56" s="1"/>
      <c r="AL56" s="1"/>
      <c r="AM56" s="1"/>
      <c r="AN56" s="1"/>
      <c r="AO56" s="1"/>
      <c r="AP56" s="1"/>
      <c r="AQ56" s="1"/>
    </row>
    <row r="57" spans="1:43" ht="18" customHeight="1" x14ac:dyDescent="0.3">
      <c r="A57" s="23"/>
      <c r="B57" s="12" t="s">
        <v>130</v>
      </c>
      <c r="C57" s="24">
        <v>-98599</v>
      </c>
      <c r="D57" s="24">
        <v>-78366</v>
      </c>
      <c r="E57" s="24">
        <v>-43583</v>
      </c>
      <c r="F57" s="24">
        <v>-70795</v>
      </c>
      <c r="G57" s="24">
        <v>-10592</v>
      </c>
      <c r="H57" s="24">
        <v>-51011</v>
      </c>
      <c r="I57" s="24">
        <v>-194323</v>
      </c>
      <c r="J57" s="24">
        <v>-354547</v>
      </c>
      <c r="K57" s="7"/>
      <c r="L57" s="4"/>
      <c r="M57" s="4"/>
      <c r="N57" s="1"/>
      <c r="O57" s="1"/>
      <c r="P57" s="5"/>
      <c r="Q57" s="5"/>
      <c r="R57" s="5"/>
      <c r="S57" s="1"/>
      <c r="T57" s="1"/>
      <c r="U57" s="1"/>
      <c r="V57" s="1"/>
      <c r="W57" s="1"/>
      <c r="X57" s="1"/>
      <c r="Y57" s="1"/>
      <c r="Z57" s="1"/>
      <c r="AA57" s="1"/>
      <c r="AB57" s="1"/>
      <c r="AC57" s="1"/>
      <c r="AD57" s="1"/>
      <c r="AE57" s="1"/>
      <c r="AF57" s="1"/>
      <c r="AG57" s="1"/>
      <c r="AH57" s="1"/>
      <c r="AI57" s="1"/>
      <c r="AJ57" s="1"/>
      <c r="AK57" s="1"/>
      <c r="AL57" s="1"/>
      <c r="AM57" s="1"/>
      <c r="AN57" s="1"/>
      <c r="AO57" s="1"/>
      <c r="AP57" s="1"/>
      <c r="AQ57" s="1"/>
    </row>
    <row r="58" spans="1:43" ht="18" customHeight="1" x14ac:dyDescent="0.3">
      <c r="A58" s="23"/>
      <c r="B58" s="12" t="s">
        <v>131</v>
      </c>
      <c r="C58" s="24">
        <v>-321</v>
      </c>
      <c r="D58" s="24">
        <v>-287</v>
      </c>
      <c r="E58" s="24">
        <v>-257</v>
      </c>
      <c r="F58" s="24">
        <v>-354147</v>
      </c>
      <c r="G58" s="24">
        <v>-387167</v>
      </c>
      <c r="H58" s="24">
        <v>-438262</v>
      </c>
      <c r="I58" s="24">
        <v>-488840</v>
      </c>
      <c r="J58" s="24">
        <v>-519024</v>
      </c>
      <c r="K58" s="7"/>
      <c r="L58" s="4"/>
      <c r="M58" s="4"/>
      <c r="N58" s="1"/>
      <c r="O58" s="1"/>
      <c r="P58" s="5"/>
      <c r="Q58" s="5"/>
      <c r="R58" s="5"/>
      <c r="S58" s="1"/>
      <c r="T58" s="1"/>
      <c r="U58" s="1"/>
      <c r="V58" s="1"/>
      <c r="W58" s="1"/>
      <c r="X58" s="1"/>
      <c r="Y58" s="1"/>
      <c r="Z58" s="1"/>
      <c r="AA58" s="1"/>
      <c r="AB58" s="1"/>
      <c r="AC58" s="1"/>
      <c r="AD58" s="1"/>
      <c r="AE58" s="1"/>
      <c r="AF58" s="1"/>
      <c r="AG58" s="1"/>
      <c r="AH58" s="1"/>
      <c r="AI58" s="1"/>
      <c r="AJ58" s="1"/>
      <c r="AK58" s="1"/>
      <c r="AL58" s="1"/>
      <c r="AM58" s="1"/>
      <c r="AN58" s="1"/>
      <c r="AO58" s="1"/>
      <c r="AP58" s="1"/>
      <c r="AQ58" s="1"/>
    </row>
    <row r="59" spans="1:43" ht="18" customHeight="1" x14ac:dyDescent="0.3">
      <c r="A59" s="23"/>
      <c r="B59" s="12" t="s">
        <v>73</v>
      </c>
      <c r="C59" s="24"/>
      <c r="D59" s="24"/>
      <c r="E59" s="24"/>
      <c r="F59" s="24">
        <v>0</v>
      </c>
      <c r="G59" s="24">
        <v>0</v>
      </c>
      <c r="H59" s="24">
        <v>-1362</v>
      </c>
      <c r="I59" s="24">
        <v>-5416</v>
      </c>
      <c r="J59" s="24">
        <v>-1720</v>
      </c>
      <c r="K59" s="7"/>
      <c r="L59" s="4"/>
      <c r="M59" s="4"/>
      <c r="N59" s="1"/>
      <c r="O59" s="1"/>
      <c r="P59" s="5"/>
      <c r="Q59" s="5"/>
      <c r="R59" s="5"/>
      <c r="S59" s="1"/>
      <c r="T59" s="1"/>
      <c r="U59" s="1"/>
      <c r="V59" s="1"/>
      <c r="W59" s="1"/>
      <c r="X59" s="1"/>
      <c r="Y59" s="1"/>
      <c r="Z59" s="1"/>
      <c r="AA59" s="1"/>
      <c r="AB59" s="1"/>
      <c r="AC59" s="1"/>
      <c r="AD59" s="1"/>
      <c r="AE59" s="1"/>
      <c r="AF59" s="1"/>
      <c r="AG59" s="1"/>
      <c r="AH59" s="1"/>
      <c r="AI59" s="1"/>
      <c r="AJ59" s="1"/>
      <c r="AK59" s="1"/>
      <c r="AL59" s="1"/>
      <c r="AM59" s="1"/>
      <c r="AN59" s="1"/>
      <c r="AO59" s="1"/>
      <c r="AP59" s="1"/>
      <c r="AQ59" s="1"/>
    </row>
    <row r="60" spans="1:43" ht="18" customHeight="1" x14ac:dyDescent="0.3">
      <c r="A60" s="23"/>
      <c r="B60" s="12" t="s">
        <v>141</v>
      </c>
      <c r="C60" s="24">
        <v>-46203</v>
      </c>
      <c r="D60" s="24">
        <v>-138440</v>
      </c>
      <c r="E60" s="24">
        <v>28070</v>
      </c>
      <c r="F60" s="24">
        <v>7625</v>
      </c>
      <c r="G60" s="24">
        <v>0</v>
      </c>
      <c r="H60" s="24">
        <v>0</v>
      </c>
      <c r="I60" s="24">
        <v>0</v>
      </c>
      <c r="J60" s="24">
        <v>0</v>
      </c>
      <c r="K60" s="7"/>
      <c r="L60" s="4"/>
      <c r="M60" s="4"/>
      <c r="N60" s="1"/>
      <c r="O60" s="1"/>
      <c r="P60" s="5"/>
      <c r="Q60" s="5"/>
      <c r="R60" s="5"/>
      <c r="S60" s="1"/>
      <c r="T60" s="1"/>
      <c r="U60" s="1"/>
      <c r="V60" s="1"/>
      <c r="W60" s="1"/>
      <c r="X60" s="1"/>
      <c r="Y60" s="1"/>
      <c r="Z60" s="1"/>
      <c r="AA60" s="1"/>
      <c r="AB60" s="1"/>
      <c r="AC60" s="1"/>
      <c r="AD60" s="1"/>
      <c r="AE60" s="1"/>
      <c r="AF60" s="1"/>
      <c r="AG60" s="1"/>
      <c r="AH60" s="1"/>
      <c r="AI60" s="1"/>
      <c r="AJ60" s="1"/>
      <c r="AK60" s="1"/>
      <c r="AL60" s="1"/>
      <c r="AM60" s="1"/>
      <c r="AN60" s="1"/>
      <c r="AO60" s="1"/>
      <c r="AP60" s="1"/>
      <c r="AQ60" s="1"/>
    </row>
    <row r="61" spans="1:43" ht="18" customHeight="1" x14ac:dyDescent="0.3">
      <c r="A61" s="23"/>
      <c r="B61" s="12" t="s">
        <v>142</v>
      </c>
      <c r="C61" s="24">
        <v>-12000</v>
      </c>
      <c r="D61" s="24">
        <v>0</v>
      </c>
      <c r="E61" s="24">
        <v>-55823</v>
      </c>
      <c r="F61" s="24">
        <v>-58581</v>
      </c>
      <c r="G61" s="24">
        <v>-68846</v>
      </c>
      <c r="H61" s="24">
        <v>-1</v>
      </c>
      <c r="I61" s="24">
        <v>0</v>
      </c>
      <c r="J61" s="24">
        <v>0</v>
      </c>
      <c r="K61" s="7"/>
      <c r="L61" s="4"/>
      <c r="M61" s="4"/>
      <c r="N61" s="1"/>
      <c r="O61" s="1"/>
      <c r="P61" s="5"/>
      <c r="Q61" s="5"/>
      <c r="R61" s="5"/>
      <c r="S61" s="1"/>
      <c r="T61" s="1"/>
      <c r="U61" s="1"/>
      <c r="V61" s="1"/>
      <c r="W61" s="1"/>
      <c r="X61" s="1"/>
      <c r="Y61" s="1"/>
      <c r="Z61" s="1"/>
      <c r="AA61" s="1"/>
      <c r="AB61" s="1"/>
      <c r="AC61" s="1"/>
      <c r="AD61" s="1"/>
      <c r="AE61" s="1"/>
      <c r="AF61" s="1"/>
      <c r="AG61" s="1"/>
      <c r="AH61" s="1"/>
      <c r="AI61" s="1"/>
      <c r="AJ61" s="1"/>
      <c r="AK61" s="1"/>
      <c r="AL61" s="1"/>
      <c r="AM61" s="1"/>
      <c r="AN61" s="1"/>
      <c r="AO61" s="1"/>
      <c r="AP61" s="1"/>
      <c r="AQ61" s="1"/>
    </row>
    <row r="62" spans="1:43" ht="18" customHeight="1" x14ac:dyDescent="0.3">
      <c r="A62" s="23"/>
      <c r="B62" s="12" t="s">
        <v>144</v>
      </c>
      <c r="C62" s="24">
        <v>-5</v>
      </c>
      <c r="D62" s="24">
        <v>-8</v>
      </c>
      <c r="E62" s="24">
        <v>1</v>
      </c>
      <c r="F62" s="24">
        <v>0</v>
      </c>
      <c r="G62" s="24">
        <v>0</v>
      </c>
      <c r="H62" s="24">
        <v>0</v>
      </c>
      <c r="I62" s="24">
        <v>0</v>
      </c>
      <c r="J62" s="24">
        <v>0</v>
      </c>
      <c r="K62" s="7"/>
      <c r="L62" s="4"/>
      <c r="M62" s="4"/>
      <c r="N62" s="1"/>
      <c r="O62" s="1"/>
      <c r="P62" s="5"/>
      <c r="Q62" s="5"/>
      <c r="R62" s="5"/>
      <c r="S62" s="1"/>
      <c r="T62" s="1"/>
      <c r="U62" s="1"/>
      <c r="V62" s="1"/>
      <c r="W62" s="1"/>
      <c r="X62" s="1"/>
      <c r="Y62" s="1"/>
      <c r="Z62" s="1"/>
      <c r="AA62" s="1"/>
      <c r="AB62" s="1"/>
      <c r="AC62" s="1"/>
      <c r="AD62" s="1"/>
      <c r="AE62" s="1"/>
      <c r="AF62" s="1"/>
      <c r="AG62" s="1"/>
      <c r="AH62" s="1"/>
      <c r="AI62" s="1"/>
      <c r="AJ62" s="1"/>
      <c r="AK62" s="1"/>
      <c r="AL62" s="1"/>
      <c r="AM62" s="1"/>
      <c r="AN62" s="1"/>
      <c r="AO62" s="1"/>
      <c r="AP62" s="1"/>
      <c r="AQ62" s="1"/>
    </row>
    <row r="63" spans="1:43" ht="18" customHeight="1" x14ac:dyDescent="0.3">
      <c r="A63" s="23"/>
      <c r="B63" s="26" t="s">
        <v>133</v>
      </c>
      <c r="C63" s="27">
        <f t="shared" ref="C63:J63" si="6">C65-C64</f>
        <v>275636</v>
      </c>
      <c r="D63" s="27">
        <f t="shared" si="6"/>
        <v>-57946</v>
      </c>
      <c r="E63" s="27">
        <f t="shared" si="6"/>
        <v>14247</v>
      </c>
      <c r="F63" s="27">
        <f t="shared" si="6"/>
        <v>1103</v>
      </c>
      <c r="G63" s="27">
        <f t="shared" si="6"/>
        <v>1062050</v>
      </c>
      <c r="H63" s="27">
        <f t="shared" si="6"/>
        <v>-451132</v>
      </c>
      <c r="I63" s="27">
        <f t="shared" si="6"/>
        <v>623840</v>
      </c>
      <c r="J63" s="27">
        <f t="shared" si="6"/>
        <v>-518503</v>
      </c>
      <c r="K63" s="7"/>
      <c r="L63" s="4"/>
      <c r="M63" s="4"/>
      <c r="N63" s="1"/>
      <c r="O63" s="1"/>
      <c r="P63" s="5"/>
      <c r="Q63" s="5"/>
      <c r="R63" s="5"/>
      <c r="S63" s="1"/>
      <c r="T63" s="1"/>
      <c r="U63" s="1"/>
      <c r="V63" s="1"/>
      <c r="W63" s="1"/>
      <c r="X63" s="1"/>
      <c r="Y63" s="1"/>
      <c r="Z63" s="1"/>
      <c r="AA63" s="1"/>
      <c r="AB63" s="1"/>
      <c r="AC63" s="1"/>
      <c r="AD63" s="1"/>
      <c r="AE63" s="1"/>
      <c r="AF63" s="1"/>
      <c r="AG63" s="1"/>
      <c r="AH63" s="1"/>
      <c r="AI63" s="1"/>
      <c r="AJ63" s="1"/>
      <c r="AK63" s="1"/>
      <c r="AL63" s="1"/>
      <c r="AM63" s="1"/>
      <c r="AN63" s="1"/>
      <c r="AO63" s="1"/>
      <c r="AP63" s="1"/>
      <c r="AQ63" s="1"/>
    </row>
    <row r="64" spans="1:43" ht="18" customHeight="1" x14ac:dyDescent="0.3">
      <c r="A64" s="23"/>
      <c r="B64" s="12" t="s">
        <v>134</v>
      </c>
      <c r="C64" s="24">
        <v>214069</v>
      </c>
      <c r="D64" s="24">
        <v>489705</v>
      </c>
      <c r="E64" s="24">
        <v>431759</v>
      </c>
      <c r="F64" s="24">
        <v>446006</v>
      </c>
      <c r="G64" s="24">
        <v>447109</v>
      </c>
      <c r="H64" s="24">
        <v>1509159</v>
      </c>
      <c r="I64" s="24">
        <v>1050251</v>
      </c>
      <c r="J64" s="24">
        <v>1674091</v>
      </c>
      <c r="K64" s="7"/>
      <c r="L64" s="4"/>
      <c r="M64" s="4"/>
      <c r="N64" s="1"/>
      <c r="O64" s="1"/>
      <c r="P64" s="5"/>
      <c r="Q64" s="5"/>
      <c r="R64" s="5"/>
      <c r="S64" s="1"/>
      <c r="T64" s="1"/>
      <c r="U64" s="1"/>
      <c r="V64" s="1"/>
      <c r="W64" s="1"/>
      <c r="X64" s="1"/>
      <c r="Y64" s="1"/>
      <c r="Z64" s="1"/>
      <c r="AA64" s="1"/>
      <c r="AB64" s="1"/>
      <c r="AC64" s="1"/>
      <c r="AD64" s="1"/>
      <c r="AE64" s="1"/>
      <c r="AF64" s="1"/>
      <c r="AG64" s="1"/>
      <c r="AH64" s="1"/>
      <c r="AI64" s="1"/>
      <c r="AJ64" s="1"/>
      <c r="AK64" s="1"/>
      <c r="AL64" s="1"/>
      <c r="AM64" s="1"/>
      <c r="AN64" s="1"/>
      <c r="AO64" s="1"/>
      <c r="AP64" s="1"/>
      <c r="AQ64" s="1"/>
    </row>
    <row r="65" spans="1:43" ht="18" customHeight="1" x14ac:dyDescent="0.3">
      <c r="A65" s="23"/>
      <c r="B65" s="12" t="s">
        <v>135</v>
      </c>
      <c r="C65" s="24">
        <v>489705</v>
      </c>
      <c r="D65" s="24">
        <v>431759</v>
      </c>
      <c r="E65" s="24">
        <v>446006</v>
      </c>
      <c r="F65" s="24">
        <v>447109</v>
      </c>
      <c r="G65" s="24">
        <v>1509159</v>
      </c>
      <c r="H65" s="24">
        <v>1058027</v>
      </c>
      <c r="I65" s="24">
        <v>1674091</v>
      </c>
      <c r="J65" s="24">
        <v>1155588</v>
      </c>
      <c r="K65" s="7"/>
      <c r="L65" s="4"/>
      <c r="M65" s="4"/>
      <c r="N65" s="1"/>
      <c r="O65" s="1"/>
      <c r="P65" s="5"/>
      <c r="Q65" s="5"/>
      <c r="R65" s="5"/>
      <c r="S65" s="1"/>
      <c r="T65" s="1"/>
      <c r="U65" s="1"/>
      <c r="V65" s="1"/>
      <c r="W65" s="1"/>
      <c r="X65" s="1"/>
      <c r="Y65" s="1"/>
      <c r="Z65" s="1"/>
      <c r="AA65" s="1"/>
      <c r="AB65" s="1"/>
      <c r="AC65" s="1"/>
      <c r="AD65" s="1"/>
      <c r="AE65" s="1"/>
      <c r="AF65" s="1"/>
      <c r="AG65" s="1"/>
      <c r="AH65" s="1"/>
      <c r="AI65" s="1"/>
      <c r="AJ65" s="1"/>
      <c r="AK65" s="1"/>
      <c r="AL65" s="1"/>
      <c r="AM65" s="1"/>
      <c r="AN65" s="1"/>
      <c r="AO65" s="1"/>
      <c r="AP65" s="1"/>
      <c r="AQ65" s="1"/>
    </row>
    <row r="66" spans="1:43" ht="18" customHeight="1" x14ac:dyDescent="0.3">
      <c r="A66" s="23"/>
      <c r="B66" s="33"/>
      <c r="C66" s="32"/>
      <c r="D66" s="32"/>
      <c r="E66" s="32"/>
      <c r="F66" s="32"/>
      <c r="G66" s="32"/>
      <c r="H66" s="32"/>
      <c r="I66" s="32"/>
      <c r="J66" s="32"/>
      <c r="K66" s="7"/>
      <c r="L66" s="4"/>
      <c r="M66" s="4"/>
      <c r="N66" s="1"/>
      <c r="O66" s="1"/>
      <c r="P66" s="5"/>
      <c r="Q66" s="5"/>
      <c r="R66" s="5"/>
      <c r="S66" s="1"/>
      <c r="T66" s="1"/>
      <c r="U66" s="1"/>
      <c r="V66" s="1"/>
      <c r="W66" s="1"/>
      <c r="X66" s="1"/>
      <c r="Y66" s="1"/>
      <c r="Z66" s="1"/>
      <c r="AA66" s="1"/>
      <c r="AB66" s="1"/>
      <c r="AC66" s="1"/>
      <c r="AD66" s="1"/>
      <c r="AE66" s="1"/>
      <c r="AF66" s="1"/>
      <c r="AG66" s="1"/>
      <c r="AH66" s="1"/>
      <c r="AI66" s="1"/>
      <c r="AJ66" s="1"/>
      <c r="AK66" s="1"/>
      <c r="AL66" s="1"/>
      <c r="AM66" s="1"/>
      <c r="AN66" s="1"/>
      <c r="AO66" s="1"/>
      <c r="AP66" s="1"/>
      <c r="AQ66" s="1"/>
    </row>
    <row r="67" spans="1:43" ht="18" customHeight="1" x14ac:dyDescent="0.3">
      <c r="A67" s="23"/>
      <c r="B67" s="33"/>
      <c r="C67" s="32"/>
      <c r="D67" s="32"/>
      <c r="E67" s="32"/>
      <c r="F67" s="32"/>
      <c r="G67" s="32"/>
      <c r="H67" s="32"/>
      <c r="I67" s="32"/>
      <c r="J67" s="32"/>
      <c r="K67" s="7"/>
      <c r="L67" s="4"/>
      <c r="M67" s="4"/>
      <c r="N67" s="1"/>
      <c r="O67" s="1"/>
      <c r="P67" s="5"/>
      <c r="Q67" s="5"/>
      <c r="R67" s="5"/>
      <c r="S67" s="1"/>
      <c r="T67" s="1"/>
      <c r="U67" s="1"/>
      <c r="V67" s="1"/>
      <c r="W67" s="1"/>
      <c r="X67" s="1"/>
      <c r="Y67" s="1"/>
      <c r="Z67" s="1"/>
      <c r="AA67" s="1"/>
      <c r="AB67" s="1"/>
      <c r="AC67" s="1"/>
      <c r="AD67" s="1"/>
      <c r="AE67" s="1"/>
      <c r="AF67" s="1"/>
      <c r="AG67" s="1"/>
      <c r="AH67" s="1"/>
      <c r="AI67" s="1"/>
      <c r="AJ67" s="1"/>
      <c r="AK67" s="1"/>
      <c r="AL67" s="1"/>
      <c r="AM67" s="1"/>
      <c r="AN67" s="1"/>
      <c r="AO67" s="1"/>
      <c r="AP67" s="1"/>
      <c r="AQ67" s="1"/>
    </row>
    <row r="68" spans="1:43" ht="18" customHeight="1" x14ac:dyDescent="0.3">
      <c r="A68" s="23"/>
      <c r="B68" s="33"/>
      <c r="C68" s="32"/>
      <c r="D68" s="32"/>
      <c r="E68" s="32"/>
      <c r="F68" s="32"/>
      <c r="G68" s="32"/>
      <c r="H68" s="32"/>
      <c r="I68" s="32"/>
      <c r="J68" s="32"/>
      <c r="K68" s="7"/>
      <c r="L68" s="4"/>
      <c r="M68" s="4"/>
      <c r="N68" s="1"/>
      <c r="O68" s="1"/>
      <c r="P68" s="5"/>
      <c r="Q68" s="5"/>
      <c r="R68" s="5"/>
      <c r="S68" s="1"/>
      <c r="T68" s="1"/>
      <c r="U68" s="1"/>
      <c r="V68" s="1"/>
      <c r="W68" s="1"/>
      <c r="X68" s="1"/>
      <c r="Y68" s="1"/>
      <c r="Z68" s="1"/>
      <c r="AA68" s="1"/>
      <c r="AB68" s="1"/>
      <c r="AC68" s="1"/>
      <c r="AD68" s="1"/>
      <c r="AE68" s="1"/>
      <c r="AF68" s="1"/>
      <c r="AG68" s="1"/>
      <c r="AH68" s="1"/>
      <c r="AI68" s="1"/>
      <c r="AJ68" s="1"/>
      <c r="AK68" s="1"/>
      <c r="AL68" s="1"/>
      <c r="AM68" s="1"/>
      <c r="AN68" s="1"/>
      <c r="AO68" s="1"/>
      <c r="AP68" s="1"/>
      <c r="AQ68" s="1"/>
    </row>
    <row r="69" spans="1:43" ht="18" customHeight="1" x14ac:dyDescent="0.3">
      <c r="A69" s="23"/>
      <c r="B69" s="33"/>
      <c r="C69" s="32"/>
      <c r="D69" s="32"/>
      <c r="E69" s="32"/>
      <c r="F69" s="32"/>
      <c r="G69" s="32"/>
      <c r="H69" s="32"/>
      <c r="I69" s="32"/>
      <c r="J69" s="32"/>
      <c r="K69" s="7"/>
      <c r="L69" s="4"/>
      <c r="M69" s="4"/>
      <c r="N69" s="1"/>
      <c r="O69" s="1"/>
      <c r="P69" s="5"/>
      <c r="Q69" s="5"/>
      <c r="R69" s="5"/>
      <c r="S69" s="1"/>
      <c r="T69" s="1"/>
      <c r="U69" s="1"/>
      <c r="V69" s="1"/>
      <c r="W69" s="1"/>
      <c r="X69" s="1"/>
      <c r="Y69" s="1"/>
      <c r="Z69" s="1"/>
      <c r="AA69" s="1"/>
      <c r="AB69" s="1"/>
      <c r="AC69" s="1"/>
      <c r="AD69" s="1"/>
      <c r="AE69" s="1"/>
      <c r="AF69" s="1"/>
      <c r="AG69" s="1"/>
      <c r="AH69" s="1"/>
      <c r="AI69" s="1"/>
      <c r="AJ69" s="1"/>
      <c r="AK69" s="1"/>
      <c r="AL69" s="1"/>
      <c r="AM69" s="1"/>
      <c r="AN69" s="1"/>
      <c r="AO69" s="1"/>
      <c r="AP69" s="1"/>
      <c r="AQ69" s="1"/>
    </row>
    <row r="70" spans="1:43" ht="18" customHeight="1" x14ac:dyDescent="0.3">
      <c r="A70" s="6"/>
      <c r="B70" s="21"/>
      <c r="C70" s="24"/>
      <c r="D70" s="24"/>
      <c r="E70" s="24"/>
      <c r="F70" s="24"/>
      <c r="G70" s="24"/>
      <c r="H70" s="24"/>
      <c r="I70" s="24"/>
      <c r="J70" s="24"/>
      <c r="K70" s="7"/>
      <c r="L70" s="7"/>
      <c r="M70" s="7"/>
      <c r="N70" s="4"/>
      <c r="O70" s="4"/>
      <c r="P70" s="1"/>
      <c r="Q70" s="1"/>
      <c r="R70" s="5"/>
      <c r="S70" s="5"/>
      <c r="T70" s="5"/>
      <c r="U70" s="1"/>
      <c r="V70" s="1"/>
      <c r="W70" s="1"/>
      <c r="X70" s="1"/>
      <c r="Y70" s="1"/>
      <c r="Z70" s="1"/>
      <c r="AA70" s="1"/>
      <c r="AB70" s="1"/>
      <c r="AC70" s="1"/>
      <c r="AD70" s="1"/>
      <c r="AE70" s="1"/>
      <c r="AF70" s="1"/>
      <c r="AG70" s="1"/>
      <c r="AH70" s="1"/>
      <c r="AI70" s="1"/>
      <c r="AJ70" s="1"/>
      <c r="AK70" s="1"/>
      <c r="AL70" s="1"/>
      <c r="AM70" s="1"/>
      <c r="AN70" s="1"/>
      <c r="AO70" s="1"/>
      <c r="AP70" s="1"/>
      <c r="AQ70" s="1"/>
    </row>
    <row r="71" spans="1:43" ht="18" customHeight="1" x14ac:dyDescent="0.3">
      <c r="A71" s="7"/>
      <c r="B71" s="22"/>
      <c r="C71" s="24"/>
      <c r="D71" s="24"/>
      <c r="E71" s="24"/>
      <c r="F71" s="24"/>
      <c r="G71" s="24"/>
      <c r="H71" s="24"/>
      <c r="I71" s="24"/>
      <c r="J71" s="24"/>
      <c r="K71" s="7"/>
      <c r="L71" s="7"/>
      <c r="M71" s="7"/>
      <c r="N71" s="4"/>
      <c r="O71" s="4"/>
      <c r="P71" s="1"/>
      <c r="Q71" s="1"/>
      <c r="R71" s="5"/>
      <c r="S71" s="5"/>
      <c r="T71" s="5"/>
      <c r="U71" s="1"/>
      <c r="V71" s="1"/>
      <c r="W71" s="1"/>
      <c r="X71" s="1"/>
      <c r="Y71" s="1"/>
      <c r="Z71" s="1"/>
      <c r="AA71" s="1"/>
      <c r="AB71" s="1"/>
      <c r="AC71" s="1"/>
      <c r="AD71" s="1"/>
      <c r="AE71" s="1"/>
      <c r="AF71" s="1"/>
      <c r="AG71" s="1"/>
      <c r="AH71" s="1"/>
      <c r="AI71" s="1"/>
      <c r="AJ71" s="1"/>
      <c r="AK71" s="1"/>
      <c r="AL71" s="1"/>
      <c r="AM71" s="1"/>
      <c r="AN71" s="1"/>
      <c r="AO71" s="1"/>
      <c r="AP71" s="1"/>
      <c r="AQ71" s="1"/>
    </row>
    <row r="72" spans="1:43" ht="18" customHeight="1" x14ac:dyDescent="0.3">
      <c r="A72" s="1"/>
      <c r="B72" s="21"/>
      <c r="C72" s="24"/>
      <c r="D72" s="24"/>
      <c r="E72" s="24"/>
      <c r="F72" s="24"/>
      <c r="G72" s="24"/>
      <c r="H72" s="24"/>
      <c r="I72" s="24"/>
      <c r="J72" s="24"/>
      <c r="K72" s="2"/>
      <c r="L72" s="2"/>
      <c r="M72" s="2"/>
      <c r="N72" s="1"/>
      <c r="O72" s="1"/>
      <c r="P72" s="1"/>
      <c r="Q72" s="1"/>
      <c r="R72" s="5"/>
      <c r="S72" s="5"/>
      <c r="T72" s="5"/>
      <c r="U72" s="1"/>
      <c r="V72" s="1"/>
      <c r="W72" s="1"/>
      <c r="X72" s="1"/>
      <c r="Y72" s="1"/>
      <c r="Z72" s="1"/>
      <c r="AA72" s="1"/>
      <c r="AB72" s="1"/>
      <c r="AC72" s="1"/>
      <c r="AD72" s="1"/>
      <c r="AE72" s="1"/>
      <c r="AF72" s="1"/>
      <c r="AG72" s="1"/>
      <c r="AH72" s="1"/>
      <c r="AI72" s="1"/>
      <c r="AJ72" s="1"/>
      <c r="AK72" s="1"/>
      <c r="AL72" s="1"/>
      <c r="AM72" s="1"/>
      <c r="AN72" s="1"/>
      <c r="AO72" s="1"/>
      <c r="AP72" s="1"/>
      <c r="AQ72" s="1"/>
    </row>
    <row r="73" spans="1:43" ht="18" customHeight="1" x14ac:dyDescent="0.3">
      <c r="A73" s="2"/>
      <c r="B73" s="34"/>
      <c r="C73" s="32"/>
      <c r="D73" s="32"/>
      <c r="E73" s="32"/>
      <c r="F73" s="32"/>
      <c r="G73" s="32"/>
      <c r="H73" s="32"/>
      <c r="I73" s="32"/>
      <c r="J73" s="32"/>
      <c r="K73" s="2"/>
      <c r="L73" s="2"/>
      <c r="M73" s="2"/>
      <c r="N73" s="1"/>
      <c r="O73" s="1"/>
      <c r="P73" s="1"/>
      <c r="Q73" s="1"/>
      <c r="R73" s="5"/>
      <c r="S73" s="5"/>
      <c r="T73" s="5"/>
      <c r="U73" s="1"/>
      <c r="V73" s="1"/>
      <c r="W73" s="1"/>
      <c r="X73" s="1"/>
      <c r="Y73" s="1"/>
      <c r="Z73" s="1"/>
      <c r="AA73" s="1"/>
      <c r="AB73" s="1"/>
      <c r="AC73" s="1"/>
      <c r="AD73" s="1"/>
      <c r="AE73" s="1"/>
      <c r="AF73" s="1"/>
      <c r="AG73" s="1"/>
      <c r="AH73" s="1"/>
      <c r="AI73" s="1"/>
      <c r="AJ73" s="1"/>
      <c r="AK73" s="1"/>
      <c r="AL73" s="1"/>
      <c r="AM73" s="1"/>
      <c r="AN73" s="1"/>
      <c r="AO73" s="1"/>
      <c r="AP73" s="1"/>
      <c r="AQ73" s="1"/>
    </row>
    <row r="74" spans="1:43" ht="18" customHeight="1" x14ac:dyDescent="0.3">
      <c r="A74" s="2"/>
      <c r="B74" s="31"/>
      <c r="C74" s="32"/>
      <c r="D74" s="32"/>
      <c r="E74" s="32"/>
      <c r="F74" s="32"/>
      <c r="G74" s="32"/>
      <c r="H74" s="32"/>
      <c r="I74" s="32"/>
      <c r="J74" s="32"/>
      <c r="K74" s="2"/>
      <c r="L74" s="2"/>
      <c r="M74" s="2"/>
      <c r="N74" s="1"/>
      <c r="O74" s="1"/>
      <c r="P74" s="1"/>
      <c r="Q74" s="1"/>
      <c r="R74" s="5"/>
      <c r="S74" s="5"/>
      <c r="T74" s="5"/>
      <c r="U74" s="1"/>
      <c r="V74" s="1"/>
      <c r="W74" s="1"/>
      <c r="X74" s="1"/>
      <c r="Y74" s="1"/>
      <c r="Z74" s="1"/>
      <c r="AA74" s="1"/>
      <c r="AB74" s="1"/>
      <c r="AC74" s="1"/>
      <c r="AD74" s="1"/>
      <c r="AE74" s="1"/>
      <c r="AF74" s="1"/>
      <c r="AG74" s="1"/>
      <c r="AH74" s="1"/>
      <c r="AI74" s="1"/>
      <c r="AJ74" s="1"/>
      <c r="AK74" s="1"/>
      <c r="AL74" s="1"/>
      <c r="AM74" s="1"/>
      <c r="AN74" s="1"/>
      <c r="AO74" s="1"/>
      <c r="AP74" s="1"/>
      <c r="AQ74" s="1"/>
    </row>
    <row r="75" spans="1:43" ht="18" customHeight="1" x14ac:dyDescent="0.3">
      <c r="A75" s="2"/>
      <c r="B75" s="33"/>
      <c r="C75" s="32"/>
      <c r="D75" s="32"/>
      <c r="E75" s="32"/>
      <c r="F75" s="32"/>
      <c r="G75" s="32"/>
      <c r="H75" s="32"/>
      <c r="I75" s="32"/>
      <c r="J75" s="32"/>
      <c r="K75" s="2"/>
      <c r="L75" s="2"/>
      <c r="M75" s="2"/>
      <c r="N75" s="1"/>
      <c r="O75" s="1"/>
      <c r="P75" s="1"/>
      <c r="Q75" s="1"/>
      <c r="R75" s="5"/>
      <c r="S75" s="5"/>
      <c r="T75" s="5"/>
      <c r="U75" s="1"/>
      <c r="V75" s="1"/>
      <c r="W75" s="1"/>
      <c r="X75" s="1"/>
      <c r="Y75" s="1"/>
      <c r="Z75" s="1"/>
      <c r="AA75" s="1"/>
      <c r="AB75" s="1"/>
      <c r="AC75" s="1"/>
      <c r="AD75" s="1"/>
      <c r="AE75" s="1"/>
      <c r="AF75" s="1"/>
      <c r="AG75" s="1"/>
      <c r="AH75" s="1"/>
      <c r="AI75" s="1"/>
      <c r="AJ75" s="1"/>
      <c r="AK75" s="1"/>
      <c r="AL75" s="1"/>
      <c r="AM75" s="1"/>
      <c r="AN75" s="1"/>
      <c r="AO75" s="1"/>
      <c r="AP75" s="1"/>
      <c r="AQ75" s="1"/>
    </row>
    <row r="76" spans="1:43" ht="18" customHeight="1" x14ac:dyDescent="0.3">
      <c r="A76" s="2"/>
      <c r="B76" s="33"/>
      <c r="C76" s="32"/>
      <c r="D76" s="32"/>
      <c r="E76" s="32"/>
      <c r="F76" s="32"/>
      <c r="G76" s="32"/>
      <c r="H76" s="32"/>
      <c r="I76" s="32"/>
      <c r="J76" s="32"/>
      <c r="K76" s="2"/>
      <c r="L76" s="2"/>
      <c r="M76" s="2"/>
      <c r="N76" s="1"/>
      <c r="O76" s="1"/>
      <c r="P76" s="1"/>
      <c r="Q76" s="1"/>
      <c r="R76" s="5"/>
      <c r="S76" s="5"/>
      <c r="T76" s="5"/>
      <c r="U76" s="1"/>
      <c r="V76" s="1"/>
      <c r="W76" s="1"/>
      <c r="X76" s="1"/>
      <c r="Y76" s="1"/>
      <c r="Z76" s="1"/>
      <c r="AA76" s="1"/>
      <c r="AB76" s="1"/>
      <c r="AC76" s="1"/>
      <c r="AD76" s="1"/>
      <c r="AE76" s="1"/>
      <c r="AF76" s="1"/>
      <c r="AG76" s="1"/>
      <c r="AH76" s="1"/>
      <c r="AI76" s="1"/>
      <c r="AJ76" s="1"/>
      <c r="AK76" s="1"/>
      <c r="AL76" s="1"/>
      <c r="AM76" s="1"/>
      <c r="AN76" s="1"/>
      <c r="AO76" s="1"/>
      <c r="AP76" s="1"/>
      <c r="AQ76" s="1"/>
    </row>
    <row r="77" spans="1:43" ht="18" customHeight="1" x14ac:dyDescent="0.3">
      <c r="A77" s="2"/>
      <c r="B77" s="33"/>
      <c r="C77" s="32"/>
      <c r="D77" s="32"/>
      <c r="E77" s="32"/>
      <c r="F77" s="32"/>
      <c r="G77" s="32"/>
      <c r="H77" s="32"/>
      <c r="I77" s="32"/>
      <c r="J77" s="32"/>
      <c r="K77" s="2"/>
      <c r="L77" s="2"/>
      <c r="M77" s="2"/>
      <c r="N77" s="1"/>
      <c r="O77" s="1"/>
      <c r="P77" s="1"/>
      <c r="Q77" s="1"/>
      <c r="R77" s="5"/>
      <c r="S77" s="5"/>
      <c r="T77" s="5"/>
      <c r="U77" s="1"/>
      <c r="V77" s="1"/>
      <c r="W77" s="1"/>
      <c r="X77" s="1"/>
      <c r="Y77" s="1"/>
      <c r="Z77" s="1"/>
      <c r="AA77" s="1"/>
      <c r="AB77" s="1"/>
      <c r="AC77" s="1"/>
      <c r="AD77" s="1"/>
      <c r="AE77" s="1"/>
      <c r="AF77" s="1"/>
      <c r="AG77" s="1"/>
      <c r="AH77" s="1"/>
      <c r="AI77" s="1"/>
      <c r="AJ77" s="1"/>
      <c r="AK77" s="1"/>
      <c r="AL77" s="1"/>
      <c r="AM77" s="1"/>
      <c r="AN77" s="1"/>
      <c r="AO77" s="1"/>
      <c r="AP77" s="1"/>
      <c r="AQ77" s="1"/>
    </row>
    <row r="78" spans="1:43" ht="18" customHeight="1" x14ac:dyDescent="0.3">
      <c r="A78" s="2"/>
      <c r="B78" s="33"/>
      <c r="C78" s="32"/>
      <c r="D78" s="32"/>
      <c r="E78" s="32"/>
      <c r="F78" s="32"/>
      <c r="G78" s="32"/>
      <c r="H78" s="32"/>
      <c r="I78" s="32"/>
      <c r="J78" s="32"/>
      <c r="K78" s="2"/>
      <c r="L78" s="2"/>
      <c r="M78" s="2"/>
      <c r="N78" s="1"/>
      <c r="O78" s="1"/>
      <c r="P78" s="1"/>
      <c r="Q78" s="1"/>
      <c r="R78" s="5"/>
      <c r="S78" s="5"/>
      <c r="T78" s="5"/>
      <c r="U78" s="1"/>
      <c r="V78" s="1"/>
      <c r="W78" s="1"/>
      <c r="X78" s="1"/>
      <c r="Y78" s="1"/>
      <c r="Z78" s="1"/>
      <c r="AA78" s="1"/>
      <c r="AB78" s="1"/>
      <c r="AC78" s="1"/>
      <c r="AD78" s="1"/>
      <c r="AE78" s="1"/>
      <c r="AF78" s="1"/>
      <c r="AG78" s="1"/>
      <c r="AH78" s="1"/>
      <c r="AI78" s="1"/>
      <c r="AJ78" s="1"/>
      <c r="AK78" s="1"/>
      <c r="AL78" s="1"/>
      <c r="AM78" s="1"/>
      <c r="AN78" s="1"/>
      <c r="AO78" s="1"/>
      <c r="AP78" s="1"/>
      <c r="AQ78" s="1"/>
    </row>
    <row r="79" spans="1:43" ht="18" customHeight="1" x14ac:dyDescent="0.3">
      <c r="A79" s="2"/>
      <c r="B79" s="33"/>
      <c r="C79" s="32"/>
      <c r="D79" s="32"/>
      <c r="E79" s="32"/>
      <c r="F79" s="32"/>
      <c r="G79" s="32"/>
      <c r="H79" s="32"/>
      <c r="I79" s="32"/>
      <c r="J79" s="32"/>
      <c r="K79" s="2"/>
      <c r="L79" s="2"/>
      <c r="M79" s="2"/>
      <c r="N79" s="1"/>
      <c r="O79" s="1"/>
      <c r="P79" s="1"/>
      <c r="Q79" s="1"/>
      <c r="R79" s="5"/>
      <c r="S79" s="5"/>
      <c r="T79" s="5"/>
      <c r="U79" s="1"/>
      <c r="V79" s="1"/>
      <c r="W79" s="1"/>
      <c r="X79" s="1"/>
      <c r="Y79" s="1"/>
      <c r="Z79" s="1"/>
      <c r="AA79" s="1"/>
      <c r="AB79" s="1"/>
      <c r="AC79" s="1"/>
      <c r="AD79" s="1"/>
      <c r="AE79" s="1"/>
      <c r="AF79" s="1"/>
      <c r="AG79" s="1"/>
      <c r="AH79" s="1"/>
      <c r="AI79" s="1"/>
      <c r="AJ79" s="1"/>
      <c r="AK79" s="1"/>
      <c r="AL79" s="1"/>
      <c r="AM79" s="1"/>
      <c r="AN79" s="1"/>
      <c r="AO79" s="1"/>
      <c r="AP79" s="1"/>
      <c r="AQ79" s="1"/>
    </row>
    <row r="80" spans="1:43" ht="18" customHeight="1" x14ac:dyDescent="0.3">
      <c r="A80" s="2"/>
      <c r="B80" s="33"/>
      <c r="C80" s="32"/>
      <c r="D80" s="32"/>
      <c r="E80" s="32"/>
      <c r="F80" s="32"/>
      <c r="G80" s="32"/>
      <c r="H80" s="32"/>
      <c r="I80" s="32"/>
      <c r="J80" s="32"/>
      <c r="K80" s="2"/>
      <c r="L80" s="2"/>
      <c r="M80" s="2"/>
      <c r="N80" s="1"/>
      <c r="O80" s="1"/>
      <c r="P80" s="1"/>
      <c r="Q80" s="1"/>
      <c r="R80" s="5"/>
      <c r="S80" s="5"/>
      <c r="T80" s="5"/>
      <c r="U80" s="1"/>
      <c r="V80" s="1"/>
      <c r="W80" s="1"/>
      <c r="X80" s="1"/>
      <c r="Y80" s="1"/>
      <c r="Z80" s="1"/>
      <c r="AA80" s="1"/>
      <c r="AB80" s="1"/>
      <c r="AC80" s="1"/>
      <c r="AD80" s="1"/>
      <c r="AE80" s="1"/>
      <c r="AF80" s="1"/>
      <c r="AG80" s="1"/>
      <c r="AH80" s="1"/>
      <c r="AI80" s="1"/>
      <c r="AJ80" s="1"/>
      <c r="AK80" s="1"/>
      <c r="AL80" s="1"/>
      <c r="AM80" s="1"/>
      <c r="AN80" s="1"/>
      <c r="AO80" s="1"/>
      <c r="AP80" s="1"/>
      <c r="AQ80" s="1"/>
    </row>
    <row r="81" spans="1:43" ht="18" customHeight="1" x14ac:dyDescent="0.3">
      <c r="A81" s="2"/>
      <c r="B81" s="33"/>
      <c r="C81" s="32"/>
      <c r="D81" s="32"/>
      <c r="E81" s="32"/>
      <c r="F81" s="32"/>
      <c r="G81" s="32"/>
      <c r="H81" s="32"/>
      <c r="I81" s="32"/>
      <c r="J81" s="32"/>
      <c r="K81" s="2"/>
      <c r="L81" s="2"/>
      <c r="M81" s="2"/>
      <c r="N81" s="1"/>
      <c r="O81" s="1"/>
      <c r="P81" s="1"/>
      <c r="Q81" s="1"/>
      <c r="R81" s="5"/>
      <c r="S81" s="5"/>
      <c r="T81" s="5"/>
      <c r="U81" s="1"/>
      <c r="V81" s="1"/>
      <c r="W81" s="1"/>
      <c r="X81" s="1"/>
      <c r="Y81" s="1"/>
      <c r="Z81" s="1"/>
      <c r="AA81" s="1"/>
      <c r="AB81" s="1"/>
      <c r="AC81" s="1"/>
      <c r="AD81" s="1"/>
      <c r="AE81" s="1"/>
      <c r="AF81" s="1"/>
      <c r="AG81" s="1"/>
      <c r="AH81" s="1"/>
      <c r="AI81" s="1"/>
      <c r="AJ81" s="1"/>
      <c r="AK81" s="1"/>
      <c r="AL81" s="1"/>
      <c r="AM81" s="1"/>
      <c r="AN81" s="1"/>
      <c r="AO81" s="1"/>
      <c r="AP81" s="1"/>
      <c r="AQ81" s="1"/>
    </row>
    <row r="82" spans="1:43" ht="18" customHeight="1" x14ac:dyDescent="0.3">
      <c r="A82" s="2"/>
      <c r="B82" s="31"/>
      <c r="C82" s="32"/>
      <c r="D82" s="32"/>
      <c r="E82" s="32"/>
      <c r="F82" s="32"/>
      <c r="G82" s="32"/>
      <c r="H82" s="32"/>
      <c r="I82" s="32"/>
      <c r="J82" s="32"/>
      <c r="K82" s="2"/>
      <c r="L82" s="2"/>
      <c r="M82" s="2"/>
      <c r="N82" s="1"/>
      <c r="O82" s="1"/>
      <c r="P82" s="1"/>
      <c r="Q82" s="1"/>
      <c r="R82" s="5"/>
      <c r="S82" s="5"/>
      <c r="T82" s="5"/>
      <c r="U82" s="1"/>
      <c r="V82" s="1"/>
      <c r="W82" s="1"/>
      <c r="X82" s="1"/>
      <c r="Y82" s="1"/>
      <c r="Z82" s="1"/>
      <c r="AA82" s="1"/>
      <c r="AB82" s="1"/>
      <c r="AC82" s="1"/>
      <c r="AD82" s="1"/>
      <c r="AE82" s="1"/>
      <c r="AF82" s="1"/>
      <c r="AG82" s="1"/>
      <c r="AH82" s="1"/>
      <c r="AI82" s="1"/>
      <c r="AJ82" s="1"/>
      <c r="AK82" s="1"/>
      <c r="AL82" s="1"/>
      <c r="AM82" s="1"/>
      <c r="AN82" s="1"/>
      <c r="AO82" s="1"/>
      <c r="AP82" s="1"/>
      <c r="AQ82" s="1"/>
    </row>
    <row r="83" spans="1:43" ht="18" customHeight="1" x14ac:dyDescent="0.3">
      <c r="A83" s="2"/>
      <c r="B83" s="13"/>
      <c r="C83" s="24"/>
      <c r="D83" s="24"/>
      <c r="E83" s="24"/>
      <c r="F83" s="24"/>
      <c r="G83" s="24"/>
      <c r="H83" s="24"/>
      <c r="I83" s="24"/>
      <c r="J83" s="24"/>
      <c r="K83" s="2"/>
      <c r="L83" s="2"/>
      <c r="M83" s="2"/>
      <c r="N83" s="1"/>
      <c r="O83" s="1"/>
      <c r="P83" s="1"/>
      <c r="Q83" s="1"/>
      <c r="R83" s="5"/>
      <c r="S83" s="5"/>
      <c r="T83" s="5"/>
      <c r="U83" s="1"/>
      <c r="V83" s="1"/>
      <c r="W83" s="1"/>
      <c r="X83" s="1"/>
      <c r="Y83" s="1"/>
      <c r="Z83" s="1"/>
      <c r="AA83" s="1"/>
      <c r="AB83" s="1"/>
      <c r="AC83" s="1"/>
      <c r="AD83" s="1"/>
      <c r="AE83" s="1"/>
      <c r="AF83" s="1"/>
      <c r="AG83" s="1"/>
      <c r="AH83" s="1"/>
      <c r="AI83" s="1"/>
      <c r="AJ83" s="1"/>
      <c r="AK83" s="1"/>
      <c r="AL83" s="1"/>
      <c r="AM83" s="1"/>
      <c r="AN83" s="1"/>
      <c r="AO83" s="1"/>
      <c r="AP83" s="1"/>
      <c r="AQ83" s="1"/>
    </row>
    <row r="84" spans="1:43" ht="18" customHeight="1" x14ac:dyDescent="0.3">
      <c r="A84" s="2"/>
      <c r="B84" s="13"/>
      <c r="C84" s="24"/>
      <c r="D84" s="24"/>
      <c r="E84" s="24"/>
      <c r="F84" s="24"/>
      <c r="G84" s="24"/>
      <c r="H84" s="24"/>
      <c r="I84" s="24"/>
      <c r="J84" s="24"/>
      <c r="K84" s="2"/>
      <c r="L84" s="2"/>
      <c r="M84" s="2"/>
      <c r="N84" s="1"/>
      <c r="O84" s="1"/>
      <c r="P84" s="1"/>
      <c r="Q84" s="1"/>
      <c r="R84" s="5"/>
      <c r="S84" s="5"/>
      <c r="T84" s="5"/>
      <c r="U84" s="1"/>
      <c r="V84" s="1"/>
      <c r="W84" s="1"/>
      <c r="X84" s="1"/>
      <c r="Y84" s="1"/>
      <c r="Z84" s="1"/>
      <c r="AA84" s="1"/>
      <c r="AB84" s="1"/>
      <c r="AC84" s="1"/>
      <c r="AD84" s="1"/>
      <c r="AE84" s="1"/>
      <c r="AF84" s="1"/>
      <c r="AG84" s="1"/>
      <c r="AH84" s="1"/>
      <c r="AI84" s="1"/>
      <c r="AJ84" s="1"/>
      <c r="AK84" s="1"/>
      <c r="AL84" s="1"/>
      <c r="AM84" s="1"/>
      <c r="AN84" s="1"/>
      <c r="AO84" s="1"/>
      <c r="AP84" s="1"/>
      <c r="AQ84" s="1"/>
    </row>
    <row r="85" spans="1:43" ht="18" customHeight="1" x14ac:dyDescent="0.3">
      <c r="A85" s="2"/>
      <c r="B85" s="13"/>
      <c r="C85" s="24"/>
      <c r="D85" s="24"/>
      <c r="E85" s="24"/>
      <c r="F85" s="24"/>
      <c r="G85" s="24"/>
      <c r="H85" s="24"/>
      <c r="I85" s="24"/>
      <c r="J85" s="24"/>
      <c r="K85" s="2"/>
      <c r="L85" s="2"/>
      <c r="M85" s="2"/>
      <c r="N85" s="1"/>
      <c r="O85" s="1"/>
      <c r="P85" s="1"/>
      <c r="Q85" s="1"/>
      <c r="R85" s="5"/>
      <c r="S85" s="5"/>
      <c r="T85" s="5"/>
      <c r="U85" s="1"/>
      <c r="V85" s="1"/>
      <c r="W85" s="1"/>
      <c r="X85" s="1"/>
      <c r="Y85" s="1"/>
      <c r="Z85" s="1"/>
      <c r="AA85" s="1"/>
      <c r="AB85" s="1"/>
      <c r="AC85" s="1"/>
      <c r="AD85" s="1"/>
      <c r="AE85" s="1"/>
      <c r="AF85" s="1"/>
      <c r="AG85" s="1"/>
      <c r="AH85" s="1"/>
      <c r="AI85" s="1"/>
      <c r="AJ85" s="1"/>
      <c r="AK85" s="1"/>
      <c r="AL85" s="1"/>
      <c r="AM85" s="1"/>
      <c r="AN85" s="1"/>
      <c r="AO85" s="1"/>
      <c r="AP85" s="1"/>
      <c r="AQ85" s="1"/>
    </row>
    <row r="86" spans="1:43" ht="18" customHeight="1" x14ac:dyDescent="0.3">
      <c r="A86" s="2"/>
      <c r="B86" s="13"/>
      <c r="C86" s="24"/>
      <c r="D86" s="24"/>
      <c r="E86" s="24"/>
      <c r="F86" s="24"/>
      <c r="G86" s="24"/>
      <c r="H86" s="24"/>
      <c r="I86" s="24"/>
      <c r="J86" s="24"/>
      <c r="K86" s="2"/>
      <c r="L86" s="2"/>
      <c r="M86" s="2"/>
      <c r="N86" s="1"/>
      <c r="O86" s="1"/>
      <c r="P86" s="1"/>
      <c r="Q86" s="1"/>
      <c r="R86" s="5"/>
      <c r="S86" s="5"/>
      <c r="T86" s="5"/>
      <c r="U86" s="1"/>
      <c r="V86" s="1"/>
      <c r="W86" s="1"/>
      <c r="X86" s="1"/>
      <c r="Y86" s="1"/>
      <c r="Z86" s="1"/>
      <c r="AA86" s="1"/>
      <c r="AB86" s="1"/>
      <c r="AC86" s="1"/>
      <c r="AD86" s="1"/>
      <c r="AE86" s="1"/>
      <c r="AF86" s="1"/>
      <c r="AG86" s="1"/>
      <c r="AH86" s="1"/>
      <c r="AI86" s="1"/>
      <c r="AJ86" s="1"/>
      <c r="AK86" s="1"/>
      <c r="AL86" s="1"/>
      <c r="AM86" s="1"/>
      <c r="AN86" s="1"/>
      <c r="AO86" s="1"/>
      <c r="AP86" s="1"/>
      <c r="AQ86" s="1"/>
    </row>
    <row r="87" spans="1:43" ht="18" customHeight="1" x14ac:dyDescent="0.3">
      <c r="A87" s="2"/>
      <c r="B87" s="13"/>
      <c r="C87" s="24"/>
      <c r="D87" s="24"/>
      <c r="E87" s="24"/>
      <c r="F87" s="24"/>
      <c r="G87" s="24"/>
      <c r="H87" s="24"/>
      <c r="I87" s="24"/>
      <c r="J87" s="24"/>
      <c r="K87" s="2"/>
      <c r="L87" s="2"/>
      <c r="M87" s="2"/>
      <c r="N87" s="1"/>
      <c r="O87" s="1"/>
      <c r="P87" s="1"/>
      <c r="Q87" s="1"/>
      <c r="R87" s="5"/>
      <c r="S87" s="5"/>
      <c r="T87" s="5"/>
      <c r="U87" s="1"/>
      <c r="V87" s="1"/>
      <c r="W87" s="1"/>
      <c r="X87" s="1"/>
      <c r="Y87" s="1"/>
      <c r="Z87" s="1"/>
      <c r="AA87" s="1"/>
      <c r="AB87" s="1"/>
      <c r="AC87" s="1"/>
      <c r="AD87" s="1"/>
      <c r="AE87" s="1"/>
      <c r="AF87" s="1"/>
      <c r="AG87" s="1"/>
      <c r="AH87" s="1"/>
      <c r="AI87" s="1"/>
      <c r="AJ87" s="1"/>
      <c r="AK87" s="1"/>
      <c r="AL87" s="1"/>
      <c r="AM87" s="1"/>
      <c r="AN87" s="1"/>
      <c r="AO87" s="1"/>
      <c r="AP87" s="1"/>
      <c r="AQ87" s="1"/>
    </row>
    <row r="88" spans="1:43" ht="18" customHeight="1" x14ac:dyDescent="0.3">
      <c r="A88" s="2"/>
      <c r="B88" s="13"/>
      <c r="C88" s="24"/>
      <c r="D88" s="24"/>
      <c r="E88" s="24"/>
      <c r="F88" s="24"/>
      <c r="G88" s="24"/>
      <c r="H88" s="24"/>
      <c r="I88" s="24"/>
      <c r="J88" s="24"/>
      <c r="K88" s="2"/>
      <c r="L88" s="2"/>
      <c r="M88" s="2"/>
      <c r="N88" s="1"/>
      <c r="O88" s="1"/>
      <c r="P88" s="1"/>
      <c r="Q88" s="1"/>
      <c r="R88" s="5"/>
      <c r="S88" s="5"/>
      <c r="T88" s="5"/>
      <c r="U88" s="1"/>
      <c r="V88" s="1"/>
      <c r="W88" s="1"/>
      <c r="X88" s="1"/>
      <c r="Y88" s="1"/>
      <c r="Z88" s="1"/>
      <c r="AA88" s="1"/>
      <c r="AB88" s="1"/>
      <c r="AC88" s="1"/>
      <c r="AD88" s="1"/>
      <c r="AE88" s="1"/>
      <c r="AF88" s="1"/>
      <c r="AG88" s="1"/>
      <c r="AH88" s="1"/>
      <c r="AI88" s="1"/>
      <c r="AJ88" s="1"/>
      <c r="AK88" s="1"/>
      <c r="AL88" s="1"/>
      <c r="AM88" s="1"/>
      <c r="AN88" s="1"/>
      <c r="AO88" s="1"/>
      <c r="AP88" s="1"/>
      <c r="AQ88" s="1"/>
    </row>
    <row r="89" spans="1:43" ht="18" customHeight="1" x14ac:dyDescent="0.3">
      <c r="A89" s="2"/>
      <c r="B89" s="13"/>
      <c r="C89" s="24"/>
      <c r="D89" s="24"/>
      <c r="E89" s="24"/>
      <c r="F89" s="24"/>
      <c r="G89" s="24"/>
      <c r="H89" s="24"/>
      <c r="I89" s="24"/>
      <c r="J89" s="24"/>
      <c r="K89" s="2"/>
      <c r="L89" s="2"/>
      <c r="M89" s="2"/>
      <c r="N89" s="1"/>
      <c r="O89" s="1"/>
      <c r="P89" s="1"/>
      <c r="Q89" s="1"/>
      <c r="R89" s="5"/>
      <c r="S89" s="5"/>
      <c r="T89" s="5"/>
      <c r="U89" s="1"/>
      <c r="V89" s="1"/>
      <c r="W89" s="1"/>
      <c r="X89" s="1"/>
      <c r="Y89" s="1"/>
      <c r="Z89" s="1"/>
      <c r="AA89" s="1"/>
      <c r="AB89" s="1"/>
      <c r="AC89" s="1"/>
      <c r="AD89" s="1"/>
      <c r="AE89" s="1"/>
      <c r="AF89" s="1"/>
      <c r="AG89" s="1"/>
      <c r="AH89" s="1"/>
      <c r="AI89" s="1"/>
      <c r="AJ89" s="1"/>
      <c r="AK89" s="1"/>
      <c r="AL89" s="1"/>
      <c r="AM89" s="1"/>
      <c r="AN89" s="1"/>
      <c r="AO89" s="1"/>
      <c r="AP89" s="1"/>
      <c r="AQ89" s="1"/>
    </row>
    <row r="90" spans="1:43" ht="18" customHeight="1" x14ac:dyDescent="0.3">
      <c r="A90" s="2"/>
      <c r="B90" s="13"/>
      <c r="C90" s="24"/>
      <c r="D90" s="24"/>
      <c r="E90" s="24"/>
      <c r="F90" s="24"/>
      <c r="G90" s="24"/>
      <c r="H90" s="24"/>
      <c r="I90" s="24"/>
      <c r="J90" s="24"/>
      <c r="K90" s="2"/>
      <c r="L90" s="2"/>
      <c r="M90" s="2"/>
      <c r="N90" s="1"/>
      <c r="O90" s="1"/>
      <c r="P90" s="1"/>
      <c r="Q90" s="1"/>
      <c r="R90" s="5"/>
      <c r="S90" s="5"/>
      <c r="T90" s="5"/>
      <c r="U90" s="1"/>
      <c r="V90" s="1"/>
      <c r="W90" s="1"/>
      <c r="X90" s="1"/>
      <c r="Y90" s="1"/>
      <c r="Z90" s="1"/>
      <c r="AA90" s="1"/>
      <c r="AB90" s="1"/>
      <c r="AC90" s="1"/>
      <c r="AD90" s="1"/>
      <c r="AE90" s="1"/>
      <c r="AF90" s="1"/>
      <c r="AG90" s="1"/>
      <c r="AH90" s="1"/>
      <c r="AI90" s="1"/>
      <c r="AJ90" s="1"/>
      <c r="AK90" s="1"/>
      <c r="AL90" s="1"/>
      <c r="AM90" s="1"/>
      <c r="AN90" s="1"/>
      <c r="AO90" s="1"/>
      <c r="AP90" s="1"/>
      <c r="AQ90" s="1"/>
    </row>
    <row r="91" spans="1:43" ht="18" customHeight="1" x14ac:dyDescent="0.3">
      <c r="A91" s="2"/>
      <c r="B91" s="21"/>
      <c r="C91" s="24"/>
      <c r="D91" s="24"/>
      <c r="E91" s="24"/>
      <c r="F91" s="24"/>
      <c r="G91" s="24"/>
      <c r="H91" s="24"/>
      <c r="I91" s="24"/>
      <c r="J91" s="24"/>
      <c r="K91" s="2"/>
      <c r="L91" s="2"/>
      <c r="M91" s="2"/>
      <c r="N91" s="1"/>
      <c r="O91" s="1"/>
      <c r="P91" s="1"/>
      <c r="Q91" s="1"/>
      <c r="R91" s="5"/>
      <c r="S91" s="5"/>
      <c r="T91" s="5"/>
      <c r="U91" s="1"/>
      <c r="V91" s="1"/>
      <c r="W91" s="1"/>
      <c r="X91" s="1"/>
      <c r="Y91" s="1"/>
      <c r="Z91" s="1"/>
      <c r="AA91" s="1"/>
      <c r="AB91" s="1"/>
      <c r="AC91" s="1"/>
      <c r="AD91" s="1"/>
      <c r="AE91" s="1"/>
      <c r="AF91" s="1"/>
      <c r="AG91" s="1"/>
      <c r="AH91" s="1"/>
      <c r="AI91" s="1"/>
      <c r="AJ91" s="1"/>
      <c r="AK91" s="1"/>
      <c r="AL91" s="1"/>
      <c r="AM91" s="1"/>
      <c r="AN91" s="1"/>
      <c r="AO91" s="1"/>
      <c r="AP91" s="1"/>
      <c r="AQ91" s="1"/>
    </row>
    <row r="92" spans="1:43" ht="18" customHeight="1" x14ac:dyDescent="0.3">
      <c r="A92" s="2"/>
      <c r="B92" s="22"/>
      <c r="C92" s="32"/>
      <c r="D92" s="32"/>
      <c r="E92" s="32"/>
      <c r="F92" s="32"/>
      <c r="G92" s="32"/>
      <c r="H92" s="32"/>
      <c r="I92" s="32"/>
      <c r="J92" s="32"/>
      <c r="K92" s="2"/>
      <c r="L92" s="2"/>
      <c r="M92" s="2"/>
      <c r="N92" s="1"/>
      <c r="O92" s="1"/>
      <c r="P92" s="1"/>
      <c r="Q92" s="1"/>
      <c r="R92" s="5"/>
      <c r="S92" s="5"/>
      <c r="T92" s="5"/>
      <c r="U92" s="1"/>
      <c r="V92" s="1"/>
      <c r="W92" s="1"/>
      <c r="X92" s="1"/>
      <c r="Y92" s="1"/>
      <c r="Z92" s="1"/>
      <c r="AA92" s="1"/>
      <c r="AB92" s="1"/>
      <c r="AC92" s="1"/>
      <c r="AD92" s="1"/>
      <c r="AE92" s="1"/>
      <c r="AF92" s="1"/>
      <c r="AG92" s="1"/>
      <c r="AH92" s="1"/>
      <c r="AI92" s="1"/>
      <c r="AJ92" s="1"/>
      <c r="AK92" s="1"/>
      <c r="AL92" s="1"/>
      <c r="AM92" s="1"/>
      <c r="AN92" s="1"/>
      <c r="AO92" s="1"/>
      <c r="AP92" s="1"/>
      <c r="AQ92" s="1"/>
    </row>
    <row r="93" spans="1:43" ht="18" customHeight="1" x14ac:dyDescent="0.3">
      <c r="A93" s="2"/>
      <c r="B93" s="20"/>
      <c r="C93" s="24"/>
      <c r="D93" s="24"/>
      <c r="E93" s="24"/>
      <c r="F93" s="24"/>
      <c r="G93" s="24"/>
      <c r="H93" s="24"/>
      <c r="I93" s="24"/>
      <c r="J93" s="24"/>
      <c r="K93" s="2"/>
      <c r="L93" s="2"/>
      <c r="M93" s="2"/>
      <c r="N93" s="1"/>
      <c r="O93" s="1"/>
      <c r="P93" s="1"/>
      <c r="Q93" s="1"/>
      <c r="R93" s="5"/>
      <c r="S93" s="5"/>
      <c r="T93" s="5"/>
      <c r="U93" s="1"/>
      <c r="V93" s="1"/>
      <c r="W93" s="1"/>
      <c r="X93" s="1"/>
      <c r="Y93" s="1"/>
      <c r="Z93" s="1"/>
      <c r="AA93" s="1"/>
      <c r="AB93" s="1"/>
      <c r="AC93" s="1"/>
      <c r="AD93" s="1"/>
      <c r="AE93" s="1"/>
      <c r="AF93" s="1"/>
      <c r="AG93" s="1"/>
      <c r="AH93" s="1"/>
      <c r="AI93" s="1"/>
      <c r="AJ93" s="1"/>
      <c r="AK93" s="1"/>
      <c r="AL93" s="1"/>
      <c r="AM93" s="1"/>
      <c r="AN93" s="1"/>
      <c r="AO93" s="1"/>
      <c r="AP93" s="1"/>
      <c r="AQ93" s="1"/>
    </row>
    <row r="94" spans="1:43" ht="18" customHeight="1" x14ac:dyDescent="0.3">
      <c r="A94" s="2"/>
      <c r="B94" s="14"/>
      <c r="C94" s="24"/>
      <c r="D94" s="24"/>
      <c r="E94" s="24"/>
      <c r="F94" s="24"/>
      <c r="G94" s="24"/>
      <c r="H94" s="24"/>
      <c r="I94" s="24"/>
      <c r="J94" s="24"/>
      <c r="K94" s="2"/>
      <c r="L94" s="2"/>
      <c r="M94" s="2"/>
      <c r="N94" s="1"/>
      <c r="O94" s="1"/>
      <c r="P94" s="1"/>
      <c r="Q94" s="1"/>
      <c r="R94" s="5"/>
      <c r="S94" s="5"/>
      <c r="T94" s="5"/>
      <c r="U94" s="1"/>
      <c r="V94" s="1"/>
      <c r="W94" s="1"/>
      <c r="X94" s="1"/>
      <c r="Y94" s="1"/>
      <c r="Z94" s="1"/>
      <c r="AA94" s="1"/>
      <c r="AB94" s="1"/>
      <c r="AC94" s="1"/>
      <c r="AD94" s="1"/>
      <c r="AE94" s="1"/>
      <c r="AF94" s="1"/>
      <c r="AG94" s="1"/>
      <c r="AH94" s="1"/>
      <c r="AI94" s="1"/>
      <c r="AJ94" s="1"/>
      <c r="AK94" s="1"/>
      <c r="AL94" s="1"/>
      <c r="AM94" s="1"/>
      <c r="AN94" s="1"/>
      <c r="AO94" s="1"/>
      <c r="AP94" s="1"/>
      <c r="AQ94" s="1"/>
    </row>
    <row r="95" spans="1:43" ht="18" customHeight="1" x14ac:dyDescent="0.3">
      <c r="A95" s="2"/>
      <c r="B95" s="14"/>
      <c r="C95" s="24"/>
      <c r="D95" s="24"/>
      <c r="E95" s="24"/>
      <c r="F95" s="24"/>
      <c r="G95" s="24"/>
      <c r="H95" s="24"/>
      <c r="I95" s="24"/>
      <c r="J95" s="24"/>
      <c r="K95" s="2"/>
      <c r="L95" s="2"/>
      <c r="M95" s="2"/>
      <c r="N95" s="1"/>
      <c r="O95" s="1"/>
      <c r="P95" s="1"/>
      <c r="Q95" s="1"/>
      <c r="R95" s="5"/>
      <c r="S95" s="5"/>
      <c r="T95" s="5"/>
      <c r="U95" s="1"/>
      <c r="V95" s="1"/>
      <c r="W95" s="1"/>
      <c r="X95" s="1"/>
      <c r="Y95" s="1"/>
      <c r="Z95" s="1"/>
      <c r="AA95" s="1"/>
      <c r="AB95" s="1"/>
      <c r="AC95" s="1"/>
      <c r="AD95" s="1"/>
      <c r="AE95" s="1"/>
      <c r="AF95" s="1"/>
      <c r="AG95" s="1"/>
      <c r="AH95" s="1"/>
      <c r="AI95" s="1"/>
      <c r="AJ95" s="1"/>
      <c r="AK95" s="1"/>
      <c r="AL95" s="1"/>
      <c r="AM95" s="1"/>
      <c r="AN95" s="1"/>
      <c r="AO95" s="1"/>
      <c r="AP95" s="1"/>
      <c r="AQ95" s="1"/>
    </row>
    <row r="96" spans="1:43" ht="18" customHeight="1" x14ac:dyDescent="0.3">
      <c r="A96" s="2"/>
      <c r="B96" s="14"/>
      <c r="C96" s="24"/>
      <c r="D96" s="24"/>
      <c r="E96" s="24"/>
      <c r="F96" s="24"/>
      <c r="G96" s="24"/>
      <c r="H96" s="24"/>
      <c r="I96" s="24"/>
      <c r="J96" s="24"/>
      <c r="K96" s="2"/>
      <c r="L96" s="2"/>
      <c r="M96" s="2"/>
      <c r="N96" s="1"/>
      <c r="O96" s="1"/>
      <c r="P96" s="1"/>
      <c r="Q96" s="1"/>
      <c r="R96" s="5"/>
      <c r="S96" s="5"/>
      <c r="T96" s="5"/>
      <c r="U96" s="1"/>
      <c r="V96" s="1"/>
      <c r="W96" s="1"/>
      <c r="X96" s="1"/>
      <c r="Y96" s="1"/>
      <c r="Z96" s="1"/>
      <c r="AA96" s="1"/>
      <c r="AB96" s="1"/>
      <c r="AC96" s="1"/>
      <c r="AD96" s="1"/>
      <c r="AE96" s="1"/>
      <c r="AF96" s="1"/>
      <c r="AG96" s="1"/>
      <c r="AH96" s="1"/>
      <c r="AI96" s="1"/>
      <c r="AJ96" s="1"/>
      <c r="AK96" s="1"/>
      <c r="AL96" s="1"/>
      <c r="AM96" s="1"/>
      <c r="AN96" s="1"/>
      <c r="AO96" s="1"/>
      <c r="AP96" s="1"/>
      <c r="AQ96" s="1"/>
    </row>
    <row r="97" spans="1:43" ht="18" customHeight="1" x14ac:dyDescent="0.3">
      <c r="A97" s="2"/>
      <c r="B97" s="14"/>
      <c r="C97" s="24"/>
      <c r="D97" s="24"/>
      <c r="E97" s="24"/>
      <c r="F97" s="24"/>
      <c r="G97" s="24"/>
      <c r="H97" s="24"/>
      <c r="I97" s="24"/>
      <c r="J97" s="24"/>
      <c r="K97" s="2"/>
      <c r="L97" s="2"/>
      <c r="M97" s="2"/>
      <c r="N97" s="1"/>
      <c r="O97" s="1"/>
      <c r="P97" s="1"/>
      <c r="Q97" s="1"/>
      <c r="R97" s="5"/>
      <c r="S97" s="5"/>
      <c r="T97" s="5"/>
      <c r="U97" s="1"/>
      <c r="V97" s="1"/>
      <c r="W97" s="1"/>
      <c r="X97" s="1"/>
      <c r="Y97" s="1"/>
      <c r="Z97" s="1"/>
      <c r="AA97" s="1"/>
      <c r="AB97" s="1"/>
      <c r="AC97" s="1"/>
      <c r="AD97" s="1"/>
      <c r="AE97" s="1"/>
      <c r="AF97" s="1"/>
      <c r="AG97" s="1"/>
      <c r="AH97" s="1"/>
      <c r="AI97" s="1"/>
      <c r="AJ97" s="1"/>
      <c r="AK97" s="1"/>
      <c r="AL97" s="1"/>
      <c r="AM97" s="1"/>
      <c r="AN97" s="1"/>
      <c r="AO97" s="1"/>
      <c r="AP97" s="1"/>
      <c r="AQ97" s="1"/>
    </row>
    <row r="98" spans="1:43" ht="18" customHeight="1" x14ac:dyDescent="0.3">
      <c r="A98" s="2"/>
      <c r="B98" s="14"/>
      <c r="C98" s="24"/>
      <c r="D98" s="24"/>
      <c r="E98" s="24"/>
      <c r="F98" s="24"/>
      <c r="G98" s="24"/>
      <c r="H98" s="24"/>
      <c r="I98" s="24"/>
      <c r="J98" s="24"/>
      <c r="K98" s="2"/>
      <c r="L98" s="2"/>
      <c r="M98" s="2"/>
      <c r="N98" s="1"/>
      <c r="O98" s="1"/>
      <c r="P98" s="1"/>
      <c r="Q98" s="1"/>
      <c r="R98" s="5"/>
      <c r="S98" s="5"/>
      <c r="T98" s="5"/>
      <c r="U98" s="1"/>
      <c r="V98" s="1"/>
      <c r="W98" s="1"/>
      <c r="X98" s="1"/>
      <c r="Y98" s="1"/>
      <c r="Z98" s="1"/>
      <c r="AA98" s="1"/>
      <c r="AB98" s="1"/>
      <c r="AC98" s="1"/>
      <c r="AD98" s="1"/>
      <c r="AE98" s="1"/>
      <c r="AF98" s="1"/>
      <c r="AG98" s="1"/>
      <c r="AH98" s="1"/>
      <c r="AI98" s="1"/>
      <c r="AJ98" s="1"/>
      <c r="AK98" s="1"/>
      <c r="AL98" s="1"/>
      <c r="AM98" s="1"/>
      <c r="AN98" s="1"/>
      <c r="AO98" s="1"/>
      <c r="AP98" s="1"/>
      <c r="AQ98" s="1"/>
    </row>
    <row r="99" spans="1:43" ht="18" customHeight="1" x14ac:dyDescent="0.3">
      <c r="A99" s="2"/>
      <c r="B99" s="14"/>
      <c r="C99" s="24"/>
      <c r="D99" s="24"/>
      <c r="E99" s="24"/>
      <c r="F99" s="24"/>
      <c r="G99" s="24"/>
      <c r="H99" s="24"/>
      <c r="I99" s="24"/>
      <c r="J99" s="24"/>
      <c r="K99" s="2"/>
      <c r="L99" s="2"/>
      <c r="M99" s="2"/>
      <c r="N99" s="1"/>
      <c r="O99" s="1"/>
      <c r="P99" s="1"/>
      <c r="Q99" s="1"/>
      <c r="R99" s="5"/>
      <c r="S99" s="5"/>
      <c r="T99" s="5"/>
      <c r="U99" s="1"/>
      <c r="V99" s="1"/>
      <c r="W99" s="1"/>
      <c r="X99" s="1"/>
      <c r="Y99" s="1"/>
      <c r="Z99" s="1"/>
      <c r="AA99" s="1"/>
      <c r="AB99" s="1"/>
      <c r="AC99" s="1"/>
      <c r="AD99" s="1"/>
      <c r="AE99" s="1"/>
      <c r="AF99" s="1"/>
      <c r="AG99" s="1"/>
      <c r="AH99" s="1"/>
      <c r="AI99" s="1"/>
      <c r="AJ99" s="1"/>
      <c r="AK99" s="1"/>
      <c r="AL99" s="1"/>
      <c r="AM99" s="1"/>
      <c r="AN99" s="1"/>
      <c r="AO99" s="1"/>
      <c r="AP99" s="1"/>
      <c r="AQ99" s="1"/>
    </row>
    <row r="100" spans="1:43" ht="18" customHeight="1" x14ac:dyDescent="0.3">
      <c r="A100" s="2"/>
      <c r="B100" s="14"/>
      <c r="C100" s="24"/>
      <c r="D100" s="24"/>
      <c r="E100" s="24"/>
      <c r="F100" s="24"/>
      <c r="G100" s="24"/>
      <c r="H100" s="24"/>
      <c r="I100" s="24"/>
      <c r="J100" s="24"/>
      <c r="K100" s="2"/>
      <c r="L100" s="2"/>
      <c r="M100" s="2"/>
      <c r="N100" s="1"/>
      <c r="O100" s="1"/>
      <c r="P100" s="1"/>
      <c r="Q100" s="1"/>
      <c r="R100" s="5"/>
      <c r="S100" s="5"/>
      <c r="T100" s="5"/>
      <c r="U100" s="1"/>
      <c r="V100" s="1"/>
      <c r="W100" s="1"/>
      <c r="X100" s="1"/>
      <c r="Y100" s="1"/>
      <c r="Z100" s="1"/>
      <c r="AA100" s="1"/>
      <c r="AB100" s="1"/>
      <c r="AC100" s="1"/>
      <c r="AD100" s="1"/>
      <c r="AE100" s="1"/>
      <c r="AF100" s="1"/>
      <c r="AG100" s="1"/>
      <c r="AH100" s="1"/>
      <c r="AI100" s="1"/>
      <c r="AJ100" s="1"/>
      <c r="AK100" s="1"/>
      <c r="AL100" s="1"/>
      <c r="AM100" s="1"/>
      <c r="AN100" s="1"/>
      <c r="AO100" s="1"/>
      <c r="AP100" s="1"/>
      <c r="AQ100" s="1"/>
    </row>
    <row r="101" spans="1:43" ht="18" customHeight="1" x14ac:dyDescent="0.3">
      <c r="A101" s="2"/>
      <c r="B101" s="14"/>
      <c r="C101" s="24"/>
      <c r="D101" s="24"/>
      <c r="E101" s="24"/>
      <c r="F101" s="24"/>
      <c r="G101" s="24"/>
      <c r="H101" s="24"/>
      <c r="I101" s="24"/>
      <c r="J101" s="24"/>
      <c r="K101" s="2"/>
      <c r="L101" s="2"/>
      <c r="M101" s="2"/>
      <c r="N101" s="1"/>
      <c r="O101" s="1"/>
      <c r="P101" s="1"/>
      <c r="Q101" s="1"/>
      <c r="R101" s="5"/>
      <c r="S101" s="5"/>
      <c r="T101" s="5"/>
      <c r="U101" s="1"/>
      <c r="V101" s="1"/>
      <c r="W101" s="1"/>
      <c r="X101" s="1"/>
      <c r="Y101" s="1"/>
      <c r="Z101" s="1"/>
      <c r="AA101" s="1"/>
      <c r="AB101" s="1"/>
      <c r="AC101" s="1"/>
      <c r="AD101" s="1"/>
      <c r="AE101" s="1"/>
      <c r="AF101" s="1"/>
      <c r="AG101" s="1"/>
      <c r="AH101" s="1"/>
      <c r="AI101" s="1"/>
      <c r="AJ101" s="1"/>
      <c r="AK101" s="1"/>
      <c r="AL101" s="1"/>
      <c r="AM101" s="1"/>
      <c r="AN101" s="1"/>
      <c r="AO101" s="1"/>
      <c r="AP101" s="1"/>
      <c r="AQ101" s="1"/>
    </row>
    <row r="102" spans="1:43" ht="18" customHeight="1" x14ac:dyDescent="0.3">
      <c r="A102" s="2"/>
      <c r="B102" s="14"/>
      <c r="C102" s="24"/>
      <c r="D102" s="24"/>
      <c r="E102" s="24"/>
      <c r="F102" s="24"/>
      <c r="G102" s="24"/>
      <c r="H102" s="24"/>
      <c r="I102" s="24"/>
      <c r="J102" s="24"/>
      <c r="K102" s="2"/>
      <c r="L102" s="2"/>
      <c r="M102" s="2"/>
      <c r="N102" s="1"/>
      <c r="O102" s="1"/>
      <c r="P102" s="1"/>
      <c r="Q102" s="1"/>
      <c r="R102" s="5"/>
      <c r="S102" s="5"/>
      <c r="T102" s="5"/>
      <c r="U102" s="1"/>
      <c r="V102" s="1"/>
      <c r="W102" s="1"/>
      <c r="X102" s="1"/>
      <c r="Y102" s="1"/>
      <c r="Z102" s="1"/>
      <c r="AA102" s="1"/>
      <c r="AB102" s="1"/>
      <c r="AC102" s="1"/>
      <c r="AD102" s="1"/>
      <c r="AE102" s="1"/>
      <c r="AF102" s="1"/>
      <c r="AG102" s="1"/>
      <c r="AH102" s="1"/>
      <c r="AI102" s="1"/>
      <c r="AJ102" s="1"/>
      <c r="AK102" s="1"/>
      <c r="AL102" s="1"/>
      <c r="AM102" s="1"/>
      <c r="AN102" s="1"/>
      <c r="AO102" s="1"/>
      <c r="AP102" s="1"/>
      <c r="AQ102" s="1"/>
    </row>
    <row r="103" spans="1:43" ht="18" customHeight="1" x14ac:dyDescent="0.3">
      <c r="A103" s="2"/>
      <c r="B103" s="14"/>
      <c r="C103" s="24"/>
      <c r="D103" s="24"/>
      <c r="E103" s="24"/>
      <c r="F103" s="24"/>
      <c r="G103" s="24"/>
      <c r="H103" s="24"/>
      <c r="I103" s="24"/>
      <c r="J103" s="24"/>
      <c r="K103" s="2"/>
      <c r="L103" s="2"/>
      <c r="M103" s="2"/>
      <c r="N103" s="1"/>
      <c r="O103" s="1"/>
      <c r="P103" s="1"/>
      <c r="Q103" s="1"/>
      <c r="R103" s="5"/>
      <c r="S103" s="5"/>
      <c r="T103" s="5"/>
      <c r="U103" s="1"/>
      <c r="V103" s="1"/>
      <c r="W103" s="1"/>
      <c r="X103" s="1"/>
      <c r="Y103" s="1"/>
      <c r="Z103" s="1"/>
      <c r="AA103" s="1"/>
      <c r="AB103" s="1"/>
      <c r="AC103" s="1"/>
      <c r="AD103" s="1"/>
      <c r="AE103" s="1"/>
      <c r="AF103" s="1"/>
      <c r="AG103" s="1"/>
      <c r="AH103" s="1"/>
      <c r="AI103" s="1"/>
      <c r="AJ103" s="1"/>
      <c r="AK103" s="1"/>
      <c r="AL103" s="1"/>
      <c r="AM103" s="1"/>
      <c r="AN103" s="1"/>
      <c r="AO103" s="1"/>
      <c r="AP103" s="1"/>
      <c r="AQ103" s="1"/>
    </row>
    <row r="104" spans="1:43" ht="18" customHeight="1" x14ac:dyDescent="0.3">
      <c r="A104" s="2"/>
      <c r="B104" s="14"/>
      <c r="C104" s="24"/>
      <c r="D104" s="24"/>
      <c r="E104" s="24"/>
      <c r="F104" s="24"/>
      <c r="G104" s="24"/>
      <c r="H104" s="24"/>
      <c r="I104" s="24"/>
      <c r="J104" s="24"/>
      <c r="K104" s="2"/>
      <c r="L104" s="2"/>
      <c r="M104" s="2"/>
      <c r="N104" s="1"/>
      <c r="O104" s="1"/>
      <c r="P104" s="1"/>
      <c r="Q104" s="1"/>
      <c r="R104" s="5"/>
      <c r="S104" s="5"/>
      <c r="T104" s="5"/>
      <c r="U104" s="1"/>
      <c r="V104" s="1"/>
      <c r="W104" s="1"/>
      <c r="X104" s="1"/>
      <c r="Y104" s="1"/>
      <c r="Z104" s="1"/>
      <c r="AA104" s="1"/>
      <c r="AB104" s="1"/>
      <c r="AC104" s="1"/>
      <c r="AD104" s="1"/>
      <c r="AE104" s="1"/>
      <c r="AF104" s="1"/>
      <c r="AG104" s="1"/>
      <c r="AH104" s="1"/>
      <c r="AI104" s="1"/>
      <c r="AJ104" s="1"/>
      <c r="AK104" s="1"/>
      <c r="AL104" s="1"/>
      <c r="AM104" s="1"/>
      <c r="AN104" s="1"/>
      <c r="AO104" s="1"/>
      <c r="AP104" s="1"/>
      <c r="AQ104" s="1"/>
    </row>
    <row r="105" spans="1:43" ht="18" customHeight="1" x14ac:dyDescent="0.3">
      <c r="A105" s="2"/>
      <c r="B105" s="14"/>
      <c r="C105" s="24"/>
      <c r="D105" s="24"/>
      <c r="E105" s="24"/>
      <c r="F105" s="24"/>
      <c r="G105" s="24"/>
      <c r="H105" s="24"/>
      <c r="I105" s="24"/>
      <c r="J105" s="24"/>
      <c r="K105" s="2"/>
      <c r="L105" s="2"/>
      <c r="M105" s="2"/>
      <c r="N105" s="1"/>
      <c r="O105" s="1"/>
      <c r="P105" s="1"/>
      <c r="Q105" s="1"/>
      <c r="R105" s="5"/>
      <c r="S105" s="5"/>
      <c r="T105" s="5"/>
      <c r="U105" s="1"/>
      <c r="V105" s="1"/>
      <c r="W105" s="1"/>
      <c r="X105" s="1"/>
      <c r="Y105" s="1"/>
      <c r="Z105" s="1"/>
      <c r="AA105" s="1"/>
      <c r="AB105" s="1"/>
      <c r="AC105" s="1"/>
      <c r="AD105" s="1"/>
      <c r="AE105" s="1"/>
      <c r="AF105" s="1"/>
      <c r="AG105" s="1"/>
      <c r="AH105" s="1"/>
      <c r="AI105" s="1"/>
      <c r="AJ105" s="1"/>
      <c r="AK105" s="1"/>
      <c r="AL105" s="1"/>
      <c r="AM105" s="1"/>
      <c r="AN105" s="1"/>
      <c r="AO105" s="1"/>
      <c r="AP105" s="1"/>
      <c r="AQ105" s="1"/>
    </row>
    <row r="106" spans="1:43" ht="18" customHeight="1" x14ac:dyDescent="0.3">
      <c r="A106" s="2"/>
      <c r="B106" s="14"/>
      <c r="C106" s="24"/>
      <c r="D106" s="24"/>
      <c r="E106" s="24"/>
      <c r="F106" s="24"/>
      <c r="G106" s="24"/>
      <c r="H106" s="24"/>
      <c r="I106" s="24"/>
      <c r="J106" s="24"/>
      <c r="K106" s="2"/>
      <c r="L106" s="2"/>
      <c r="M106" s="2"/>
      <c r="N106" s="1"/>
      <c r="O106" s="1"/>
      <c r="P106" s="1"/>
      <c r="Q106" s="1"/>
      <c r="R106" s="5"/>
      <c r="S106" s="5"/>
      <c r="T106" s="5"/>
      <c r="U106" s="1"/>
      <c r="V106" s="1"/>
      <c r="W106" s="1"/>
      <c r="X106" s="1"/>
      <c r="Y106" s="1"/>
      <c r="Z106" s="1"/>
      <c r="AA106" s="1"/>
      <c r="AB106" s="1"/>
      <c r="AC106" s="1"/>
      <c r="AD106" s="1"/>
      <c r="AE106" s="1"/>
      <c r="AF106" s="1"/>
      <c r="AG106" s="1"/>
      <c r="AH106" s="1"/>
      <c r="AI106" s="1"/>
      <c r="AJ106" s="1"/>
      <c r="AK106" s="1"/>
      <c r="AL106" s="1"/>
      <c r="AM106" s="1"/>
      <c r="AN106" s="1"/>
      <c r="AO106" s="1"/>
      <c r="AP106" s="1"/>
      <c r="AQ106" s="1"/>
    </row>
    <row r="107" spans="1:43" ht="18" customHeight="1" x14ac:dyDescent="0.3">
      <c r="A107" s="2"/>
      <c r="B107" s="14"/>
      <c r="C107" s="24"/>
      <c r="D107" s="24"/>
      <c r="E107" s="24"/>
      <c r="F107" s="24"/>
      <c r="G107" s="24"/>
      <c r="H107" s="24"/>
      <c r="I107" s="24"/>
      <c r="J107" s="24"/>
      <c r="K107" s="2"/>
      <c r="L107" s="2"/>
      <c r="M107" s="2"/>
      <c r="N107" s="1"/>
      <c r="O107" s="1"/>
      <c r="P107" s="1"/>
      <c r="Q107" s="1"/>
      <c r="R107" s="5"/>
      <c r="S107" s="5"/>
      <c r="T107" s="5"/>
      <c r="U107" s="1"/>
      <c r="V107" s="1"/>
      <c r="W107" s="1"/>
      <c r="X107" s="1"/>
      <c r="Y107" s="1"/>
      <c r="Z107" s="1"/>
      <c r="AA107" s="1"/>
      <c r="AB107" s="1"/>
      <c r="AC107" s="1"/>
      <c r="AD107" s="1"/>
      <c r="AE107" s="1"/>
      <c r="AF107" s="1"/>
      <c r="AG107" s="1"/>
      <c r="AH107" s="1"/>
      <c r="AI107" s="1"/>
      <c r="AJ107" s="1"/>
      <c r="AK107" s="1"/>
      <c r="AL107" s="1"/>
      <c r="AM107" s="1"/>
      <c r="AN107" s="1"/>
      <c r="AO107" s="1"/>
      <c r="AP107" s="1"/>
      <c r="AQ107" s="1"/>
    </row>
    <row r="108" spans="1:43" ht="18" customHeight="1" x14ac:dyDescent="0.3">
      <c r="A108" s="2"/>
      <c r="B108" s="14"/>
      <c r="C108" s="24"/>
      <c r="D108" s="24"/>
      <c r="E108" s="24"/>
      <c r="F108" s="24"/>
      <c r="G108" s="24"/>
      <c r="H108" s="24"/>
      <c r="I108" s="24"/>
      <c r="J108" s="24"/>
      <c r="K108" s="2"/>
      <c r="L108" s="2"/>
      <c r="M108" s="2"/>
      <c r="N108" s="1"/>
      <c r="O108" s="1"/>
      <c r="P108" s="1"/>
      <c r="Q108" s="1"/>
      <c r="R108" s="5"/>
      <c r="S108" s="5"/>
      <c r="T108" s="5"/>
      <c r="U108" s="1"/>
      <c r="V108" s="1"/>
      <c r="W108" s="1"/>
      <c r="X108" s="1"/>
      <c r="Y108" s="1"/>
      <c r="Z108" s="1"/>
      <c r="AA108" s="1"/>
      <c r="AB108" s="1"/>
      <c r="AC108" s="1"/>
      <c r="AD108" s="1"/>
      <c r="AE108" s="1"/>
      <c r="AF108" s="1"/>
      <c r="AG108" s="1"/>
      <c r="AH108" s="1"/>
      <c r="AI108" s="1"/>
      <c r="AJ108" s="1"/>
      <c r="AK108" s="1"/>
      <c r="AL108" s="1"/>
      <c r="AM108" s="1"/>
      <c r="AN108" s="1"/>
      <c r="AO108" s="1"/>
      <c r="AP108" s="1"/>
      <c r="AQ108" s="1"/>
    </row>
    <row r="109" spans="1:43" ht="18" customHeight="1" x14ac:dyDescent="0.3">
      <c r="A109" s="2"/>
      <c r="B109" s="14"/>
      <c r="C109" s="24"/>
      <c r="D109" s="24"/>
      <c r="E109" s="24"/>
      <c r="F109" s="24"/>
      <c r="G109" s="24"/>
      <c r="H109" s="24"/>
      <c r="I109" s="24"/>
      <c r="J109" s="24"/>
      <c r="K109" s="2"/>
      <c r="L109" s="2"/>
      <c r="M109" s="2"/>
      <c r="N109" s="1"/>
      <c r="O109" s="1"/>
      <c r="P109" s="1"/>
      <c r="Q109" s="1"/>
      <c r="R109" s="5"/>
      <c r="S109" s="5"/>
      <c r="T109" s="5"/>
      <c r="U109" s="1"/>
      <c r="V109" s="1"/>
      <c r="W109" s="1"/>
      <c r="X109" s="1"/>
      <c r="Y109" s="1"/>
      <c r="Z109" s="1"/>
      <c r="AA109" s="1"/>
      <c r="AB109" s="1"/>
      <c r="AC109" s="1"/>
      <c r="AD109" s="1"/>
      <c r="AE109" s="1"/>
      <c r="AF109" s="1"/>
      <c r="AG109" s="1"/>
      <c r="AH109" s="1"/>
      <c r="AI109" s="1"/>
      <c r="AJ109" s="1"/>
      <c r="AK109" s="1"/>
      <c r="AL109" s="1"/>
      <c r="AM109" s="1"/>
      <c r="AN109" s="1"/>
      <c r="AO109" s="1"/>
      <c r="AP109" s="1"/>
      <c r="AQ109" s="1"/>
    </row>
    <row r="110" spans="1:43" ht="18" customHeight="1" x14ac:dyDescent="0.3">
      <c r="A110" s="2"/>
      <c r="B110" s="14"/>
      <c r="C110" s="24"/>
      <c r="D110" s="24"/>
      <c r="E110" s="24"/>
      <c r="F110" s="24"/>
      <c r="G110" s="24"/>
      <c r="H110" s="24"/>
      <c r="I110" s="24"/>
      <c r="J110" s="24"/>
      <c r="K110" s="2"/>
      <c r="L110" s="2"/>
      <c r="M110" s="2"/>
      <c r="N110" s="1"/>
      <c r="O110" s="1"/>
      <c r="P110" s="1"/>
      <c r="Q110" s="1"/>
      <c r="R110" s="5"/>
      <c r="S110" s="5"/>
      <c r="T110" s="5"/>
      <c r="U110" s="1"/>
      <c r="V110" s="1"/>
      <c r="W110" s="1"/>
      <c r="X110" s="1"/>
      <c r="Y110" s="1"/>
      <c r="Z110" s="1"/>
      <c r="AA110" s="1"/>
      <c r="AB110" s="1"/>
      <c r="AC110" s="1"/>
      <c r="AD110" s="1"/>
      <c r="AE110" s="1"/>
      <c r="AF110" s="1"/>
      <c r="AG110" s="1"/>
      <c r="AH110" s="1"/>
      <c r="AI110" s="1"/>
      <c r="AJ110" s="1"/>
      <c r="AK110" s="1"/>
      <c r="AL110" s="1"/>
      <c r="AM110" s="1"/>
      <c r="AN110" s="1"/>
      <c r="AO110" s="1"/>
      <c r="AP110" s="1"/>
      <c r="AQ110" s="1"/>
    </row>
    <row r="111" spans="1:43" ht="18" customHeight="1" x14ac:dyDescent="0.3">
      <c r="A111" s="2"/>
      <c r="B111" s="22"/>
      <c r="C111" s="24"/>
      <c r="D111" s="24"/>
      <c r="E111" s="24"/>
      <c r="F111" s="24"/>
      <c r="G111" s="24"/>
      <c r="H111" s="24"/>
      <c r="I111" s="24"/>
      <c r="J111" s="24"/>
      <c r="K111" s="2"/>
      <c r="L111" s="2"/>
      <c r="M111" s="2"/>
      <c r="N111" s="1"/>
      <c r="O111" s="1"/>
      <c r="P111" s="1"/>
      <c r="Q111" s="1"/>
      <c r="R111" s="5"/>
      <c r="S111" s="5"/>
      <c r="T111" s="5"/>
      <c r="U111" s="1"/>
      <c r="V111" s="1"/>
      <c r="W111" s="1"/>
      <c r="X111" s="1"/>
      <c r="Y111" s="1"/>
      <c r="Z111" s="1"/>
      <c r="AA111" s="1"/>
      <c r="AB111" s="1"/>
      <c r="AC111" s="1"/>
      <c r="AD111" s="1"/>
      <c r="AE111" s="1"/>
      <c r="AF111" s="1"/>
      <c r="AG111" s="1"/>
      <c r="AH111" s="1"/>
      <c r="AI111" s="1"/>
      <c r="AJ111" s="1"/>
      <c r="AK111" s="1"/>
      <c r="AL111" s="1"/>
      <c r="AM111" s="1"/>
      <c r="AN111" s="1"/>
      <c r="AO111" s="1"/>
      <c r="AP111" s="1"/>
      <c r="AQ111" s="1"/>
    </row>
    <row r="112" spans="1:43" ht="18" customHeight="1" x14ac:dyDescent="0.3">
      <c r="A112" s="2"/>
      <c r="B112" s="22"/>
      <c r="C112" s="24"/>
      <c r="D112" s="24"/>
      <c r="E112" s="24"/>
      <c r="F112" s="24"/>
      <c r="G112" s="24"/>
      <c r="H112" s="24"/>
      <c r="I112" s="24"/>
      <c r="J112" s="24"/>
      <c r="K112" s="2"/>
      <c r="L112" s="2"/>
      <c r="M112" s="2"/>
      <c r="N112" s="1"/>
      <c r="O112" s="1"/>
      <c r="P112" s="1"/>
      <c r="Q112" s="1"/>
      <c r="R112" s="5"/>
      <c r="S112" s="5"/>
      <c r="T112" s="5"/>
      <c r="U112" s="1"/>
      <c r="V112" s="1"/>
      <c r="W112" s="1"/>
      <c r="X112" s="1"/>
      <c r="Y112" s="1"/>
      <c r="Z112" s="1"/>
      <c r="AA112" s="1"/>
      <c r="AB112" s="1"/>
      <c r="AC112" s="1"/>
      <c r="AD112" s="1"/>
      <c r="AE112" s="1"/>
      <c r="AF112" s="1"/>
      <c r="AG112" s="1"/>
      <c r="AH112" s="1"/>
      <c r="AI112" s="1"/>
      <c r="AJ112" s="1"/>
      <c r="AK112" s="1"/>
      <c r="AL112" s="1"/>
      <c r="AM112" s="1"/>
      <c r="AN112" s="1"/>
      <c r="AO112" s="1"/>
      <c r="AP112" s="1"/>
      <c r="AQ112" s="1"/>
    </row>
    <row r="113" spans="1:43" ht="18" customHeight="1" x14ac:dyDescent="0.3">
      <c r="A113" s="2"/>
      <c r="B113" s="21"/>
      <c r="C113" s="24"/>
      <c r="D113" s="24"/>
      <c r="E113" s="24"/>
      <c r="F113" s="24"/>
      <c r="G113" s="24"/>
      <c r="H113" s="24"/>
      <c r="I113" s="24"/>
      <c r="J113" s="24"/>
      <c r="K113" s="2"/>
      <c r="L113" s="2"/>
      <c r="M113" s="2"/>
      <c r="N113" s="1"/>
      <c r="O113" s="1"/>
      <c r="P113" s="1"/>
      <c r="Q113" s="1"/>
      <c r="R113" s="5"/>
      <c r="S113" s="5"/>
      <c r="T113" s="5"/>
      <c r="U113" s="1"/>
      <c r="V113" s="1"/>
      <c r="W113" s="1"/>
      <c r="X113" s="1"/>
      <c r="Y113" s="1"/>
      <c r="Z113" s="1"/>
      <c r="AA113" s="1"/>
      <c r="AB113" s="1"/>
      <c r="AC113" s="1"/>
      <c r="AD113" s="1"/>
      <c r="AE113" s="1"/>
      <c r="AF113" s="1"/>
      <c r="AG113" s="1"/>
      <c r="AH113" s="1"/>
      <c r="AI113" s="1"/>
      <c r="AJ113" s="1"/>
      <c r="AK113" s="1"/>
      <c r="AL113" s="1"/>
      <c r="AM113" s="1"/>
      <c r="AN113" s="1"/>
      <c r="AO113" s="1"/>
      <c r="AP113" s="1"/>
      <c r="AQ113" s="1"/>
    </row>
    <row r="114" spans="1:43" ht="18" customHeight="1" x14ac:dyDescent="0.3">
      <c r="A114" s="1"/>
      <c r="B114" s="21"/>
      <c r="C114" s="11"/>
      <c r="D114" s="11"/>
      <c r="E114" s="11"/>
      <c r="F114" s="11"/>
      <c r="G114" s="11"/>
      <c r="H114" s="11"/>
      <c r="I114" s="11"/>
      <c r="J114" s="11"/>
      <c r="K114" s="2"/>
      <c r="L114" s="2"/>
      <c r="M114" s="2"/>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row>
    <row r="115" spans="1:43" ht="18" customHeight="1" x14ac:dyDescent="0.3">
      <c r="A115" s="1"/>
      <c r="B115" s="21"/>
      <c r="C115" s="11"/>
      <c r="D115" s="11"/>
      <c r="E115" s="11"/>
      <c r="F115" s="11"/>
      <c r="G115" s="11"/>
      <c r="H115" s="11"/>
      <c r="I115" s="11"/>
      <c r="J115" s="11"/>
      <c r="K115" s="2"/>
      <c r="L115" s="2"/>
      <c r="M115" s="2"/>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row>
    <row r="116" spans="1:43" ht="18" customHeight="1" x14ac:dyDescent="0.3">
      <c r="A116" s="1"/>
      <c r="B116" s="34"/>
      <c r="C116" s="43"/>
      <c r="D116" s="43"/>
      <c r="E116" s="43"/>
      <c r="F116" s="43"/>
      <c r="G116" s="43"/>
      <c r="H116" s="43"/>
      <c r="I116" s="43"/>
      <c r="J116" s="43"/>
      <c r="K116" s="2"/>
      <c r="L116" s="2"/>
      <c r="M116" s="2"/>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row>
    <row r="117" spans="1:43" ht="18" customHeight="1" x14ac:dyDescent="0.3">
      <c r="A117" s="1"/>
      <c r="B117" s="31"/>
      <c r="C117" s="37"/>
      <c r="D117" s="37"/>
      <c r="E117" s="37"/>
      <c r="F117" s="37"/>
      <c r="G117" s="37"/>
      <c r="H117" s="37"/>
      <c r="I117" s="37"/>
      <c r="J117" s="37"/>
      <c r="K117" s="2"/>
      <c r="L117" s="2"/>
      <c r="M117" s="2"/>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row>
    <row r="118" spans="1:43" ht="18" customHeight="1" x14ac:dyDescent="0.3">
      <c r="A118" s="1"/>
      <c r="B118" s="31"/>
      <c r="C118" s="37"/>
      <c r="D118" s="37"/>
      <c r="E118" s="37"/>
      <c r="F118" s="37"/>
      <c r="G118" s="37"/>
      <c r="H118" s="37"/>
      <c r="I118" s="37"/>
      <c r="J118" s="37"/>
      <c r="K118" s="2"/>
      <c r="L118" s="2"/>
      <c r="M118" s="2"/>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row>
    <row r="119" spans="1:43" ht="18" customHeight="1" x14ac:dyDescent="0.3">
      <c r="A119" s="1"/>
      <c r="B119" s="33"/>
      <c r="C119" s="37"/>
      <c r="D119" s="37"/>
      <c r="E119" s="37"/>
      <c r="F119" s="37"/>
      <c r="G119" s="37"/>
      <c r="H119" s="37"/>
      <c r="I119" s="37"/>
      <c r="J119" s="37"/>
      <c r="K119" s="2"/>
      <c r="L119" s="2"/>
      <c r="M119" s="2"/>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row>
    <row r="120" spans="1:43" ht="18" customHeight="1" x14ac:dyDescent="0.3">
      <c r="A120" s="1"/>
      <c r="B120" s="33"/>
      <c r="C120" s="37"/>
      <c r="D120" s="37"/>
      <c r="E120" s="37"/>
      <c r="F120" s="37"/>
      <c r="G120" s="37"/>
      <c r="H120" s="37"/>
      <c r="I120" s="37"/>
      <c r="J120" s="37"/>
      <c r="K120" s="2"/>
      <c r="L120" s="2"/>
      <c r="M120" s="2"/>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row>
    <row r="121" spans="1:43" ht="18" customHeight="1" x14ac:dyDescent="0.3">
      <c r="A121" s="1"/>
      <c r="B121" s="33"/>
      <c r="C121" s="37"/>
      <c r="D121" s="37"/>
      <c r="E121" s="37"/>
      <c r="F121" s="37"/>
      <c r="G121" s="37"/>
      <c r="H121" s="37"/>
      <c r="I121" s="37"/>
      <c r="J121" s="37"/>
      <c r="K121" s="2"/>
      <c r="L121" s="2"/>
      <c r="M121" s="2"/>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row>
    <row r="122" spans="1:43" ht="18" customHeight="1" x14ac:dyDescent="0.3">
      <c r="A122" s="1"/>
      <c r="B122" s="33"/>
      <c r="C122" s="37"/>
      <c r="D122" s="37"/>
      <c r="E122" s="37"/>
      <c r="F122" s="37"/>
      <c r="G122" s="37"/>
      <c r="H122" s="37"/>
      <c r="I122" s="37"/>
      <c r="J122" s="37"/>
      <c r="K122" s="2"/>
      <c r="L122" s="2"/>
      <c r="M122" s="2"/>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row>
    <row r="123" spans="1:43" ht="18" customHeight="1" x14ac:dyDescent="0.3">
      <c r="A123" s="1"/>
      <c r="B123" s="33"/>
      <c r="C123" s="37"/>
      <c r="D123" s="37"/>
      <c r="E123" s="37"/>
      <c r="F123" s="37"/>
      <c r="G123" s="37"/>
      <c r="H123" s="37"/>
      <c r="I123" s="37"/>
      <c r="J123" s="37"/>
      <c r="K123" s="2"/>
      <c r="L123" s="2"/>
      <c r="M123" s="2"/>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row>
    <row r="124" spans="1:43" ht="18" customHeight="1" x14ac:dyDescent="0.3">
      <c r="A124" s="1"/>
      <c r="B124" s="34"/>
      <c r="C124" s="37"/>
      <c r="D124" s="37"/>
      <c r="E124" s="37"/>
      <c r="F124" s="37"/>
      <c r="G124" s="37"/>
      <c r="H124" s="37"/>
      <c r="I124" s="37"/>
      <c r="J124" s="37"/>
      <c r="K124" s="2"/>
      <c r="L124" s="2"/>
      <c r="M124" s="2"/>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row>
    <row r="125" spans="1:43" ht="18" customHeight="1" x14ac:dyDescent="0.3">
      <c r="A125" s="1"/>
      <c r="B125" s="34"/>
      <c r="C125" s="37"/>
      <c r="D125" s="37"/>
      <c r="E125" s="37"/>
      <c r="F125" s="37"/>
      <c r="G125" s="37"/>
      <c r="H125" s="37"/>
      <c r="I125" s="37"/>
      <c r="J125" s="37"/>
      <c r="K125" s="2"/>
      <c r="L125" s="2"/>
      <c r="M125" s="2"/>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row>
    <row r="126" spans="1:43" ht="18" customHeight="1" x14ac:dyDescent="0.3">
      <c r="A126" s="1"/>
      <c r="B126" s="21"/>
      <c r="C126" s="24"/>
      <c r="D126" s="24"/>
      <c r="E126" s="24"/>
      <c r="F126" s="24"/>
      <c r="G126" s="24"/>
      <c r="H126" s="24"/>
      <c r="I126" s="24"/>
      <c r="J126" s="24"/>
      <c r="K126" s="2"/>
      <c r="L126" s="2"/>
      <c r="M126" s="2"/>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row>
    <row r="127" spans="1:43" ht="18" customHeight="1" x14ac:dyDescent="0.3">
      <c r="A127" s="1"/>
      <c r="B127" s="21"/>
      <c r="C127" s="11"/>
      <c r="D127" s="11"/>
      <c r="E127" s="11"/>
      <c r="F127" s="11"/>
      <c r="G127" s="11"/>
      <c r="H127" s="11"/>
      <c r="I127" s="11"/>
      <c r="J127" s="11"/>
      <c r="K127" s="2"/>
      <c r="L127" s="2"/>
      <c r="M127" s="2"/>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row>
    <row r="128" spans="1:43" ht="18" customHeight="1" x14ac:dyDescent="0.3">
      <c r="A128" s="1"/>
      <c r="B128" s="21"/>
      <c r="C128" s="11"/>
      <c r="D128" s="11"/>
      <c r="E128" s="11"/>
      <c r="F128" s="11"/>
      <c r="G128" s="11"/>
      <c r="H128" s="11"/>
      <c r="I128" s="11"/>
      <c r="J128" s="11"/>
      <c r="K128" s="2"/>
      <c r="L128" s="2"/>
      <c r="M128" s="2"/>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row>
    <row r="129" spans="1:43" ht="18" customHeight="1" x14ac:dyDescent="0.3">
      <c r="A129" s="1"/>
      <c r="B129" s="21"/>
      <c r="C129" s="11"/>
      <c r="D129" s="11"/>
      <c r="E129" s="11"/>
      <c r="F129" s="11"/>
      <c r="G129" s="11"/>
      <c r="H129" s="11"/>
      <c r="I129" s="11"/>
      <c r="J129" s="11"/>
      <c r="K129" s="2"/>
      <c r="L129" s="2"/>
      <c r="M129" s="2"/>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row>
    <row r="130" spans="1:43" ht="15" thickBot="1" x14ac:dyDescent="0.35">
      <c r="A130" s="1"/>
      <c r="B130" s="21"/>
      <c r="C130" s="11"/>
      <c r="D130" s="11"/>
      <c r="E130" s="36"/>
      <c r="F130" s="170"/>
      <c r="G130" s="170"/>
      <c r="H130" s="36"/>
      <c r="I130" s="170"/>
      <c r="J130" s="170"/>
      <c r="K130" s="2"/>
      <c r="L130" s="2"/>
      <c r="M130" s="2"/>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row>
    <row r="131" spans="1:43" x14ac:dyDescent="0.3">
      <c r="A131" s="1"/>
      <c r="B131" s="21"/>
      <c r="C131" s="11"/>
      <c r="D131" s="11"/>
      <c r="E131" s="39"/>
      <c r="F131" s="168"/>
      <c r="G131" s="168"/>
      <c r="H131" s="35"/>
      <c r="I131" s="169"/>
      <c r="J131" s="169"/>
      <c r="K131" s="2"/>
      <c r="L131" s="2"/>
      <c r="M131" s="2"/>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row>
    <row r="132" spans="1:43" x14ac:dyDescent="0.3">
      <c r="A132" s="1"/>
      <c r="B132" s="21"/>
      <c r="C132" s="11"/>
      <c r="D132" s="11"/>
      <c r="E132" s="11"/>
      <c r="F132" s="11"/>
      <c r="G132" s="11"/>
      <c r="H132" s="11"/>
      <c r="I132" s="11"/>
      <c r="J132" s="11"/>
      <c r="K132" s="2"/>
      <c r="L132" s="2"/>
      <c r="M132" s="2"/>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row>
    <row r="133" spans="1:43" x14ac:dyDescent="0.3">
      <c r="A133" s="1"/>
      <c r="B133" s="21"/>
      <c r="C133" s="11"/>
      <c r="D133" s="11"/>
      <c r="E133" s="11"/>
      <c r="F133" s="11"/>
      <c r="G133" s="11"/>
      <c r="H133" s="11"/>
      <c r="I133" s="11"/>
      <c r="J133" s="11"/>
      <c r="K133" s="2"/>
      <c r="L133" s="2"/>
      <c r="M133" s="2"/>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row>
    <row r="134" spans="1:43" ht="15" thickBot="1" x14ac:dyDescent="0.35">
      <c r="A134" s="1"/>
      <c r="B134" s="21"/>
      <c r="C134" s="11"/>
      <c r="D134" s="11"/>
      <c r="E134" s="36"/>
      <c r="F134" s="170"/>
      <c r="G134" s="170"/>
      <c r="H134" s="36"/>
      <c r="I134" s="170"/>
      <c r="J134" s="170"/>
      <c r="K134" s="2"/>
      <c r="L134" s="2"/>
      <c r="M134" s="2"/>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row>
    <row r="135" spans="1:43" x14ac:dyDescent="0.3">
      <c r="A135" s="1"/>
      <c r="B135" s="21"/>
      <c r="C135" s="11"/>
      <c r="D135" s="11"/>
      <c r="E135" s="39"/>
      <c r="F135" s="168"/>
      <c r="G135" s="168"/>
      <c r="H135" s="35"/>
      <c r="I135" s="169"/>
      <c r="J135" s="169"/>
      <c r="K135" s="2"/>
      <c r="L135" s="2"/>
      <c r="M135" s="2"/>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row>
    <row r="136" spans="1:43" x14ac:dyDescent="0.3">
      <c r="A136" s="1"/>
      <c r="B136" s="21"/>
      <c r="C136" s="11"/>
      <c r="D136" s="11"/>
      <c r="E136" s="11"/>
      <c r="F136" s="11"/>
      <c r="G136" s="11"/>
      <c r="H136" s="11"/>
      <c r="I136" s="11"/>
      <c r="J136" s="11"/>
      <c r="K136" s="2"/>
      <c r="L136" s="2"/>
      <c r="M136" s="2"/>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row>
    <row r="137" spans="1:43" x14ac:dyDescent="0.3">
      <c r="A137" s="1"/>
      <c r="B137" s="21"/>
      <c r="C137" s="11"/>
      <c r="D137" s="11"/>
      <c r="E137" s="11"/>
      <c r="F137" s="11"/>
      <c r="G137" s="11"/>
      <c r="H137" s="11"/>
      <c r="I137" s="11"/>
      <c r="J137" s="11"/>
      <c r="K137" s="2"/>
      <c r="L137" s="2"/>
      <c r="M137" s="2"/>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row>
    <row r="138" spans="1:43" x14ac:dyDescent="0.3">
      <c r="A138" s="1"/>
      <c r="B138" s="21"/>
      <c r="C138" s="11"/>
      <c r="D138" s="11"/>
      <c r="E138" s="11"/>
      <c r="F138" s="11"/>
      <c r="G138" s="11"/>
      <c r="H138" s="11"/>
      <c r="I138" s="11"/>
      <c r="J138" s="11"/>
      <c r="K138" s="2"/>
      <c r="L138" s="2"/>
      <c r="M138" s="2"/>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row>
    <row r="139" spans="1:43" x14ac:dyDescent="0.3">
      <c r="A139" s="1"/>
      <c r="B139" s="21"/>
      <c r="C139" s="11"/>
      <c r="D139" s="11"/>
      <c r="E139" s="11"/>
      <c r="F139" s="11"/>
      <c r="G139" s="11"/>
      <c r="H139" s="11"/>
      <c r="I139" s="11"/>
      <c r="J139" s="11"/>
      <c r="K139" s="2"/>
      <c r="L139" s="2"/>
      <c r="M139" s="2"/>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row>
    <row r="140" spans="1:43" x14ac:dyDescent="0.3">
      <c r="A140" s="1"/>
      <c r="B140" s="21"/>
      <c r="C140" s="11"/>
      <c r="D140" s="11"/>
      <c r="E140" s="11"/>
      <c r="F140" s="11"/>
      <c r="G140" s="11"/>
      <c r="H140" s="11"/>
      <c r="I140" s="11"/>
      <c r="J140" s="11"/>
      <c r="K140" s="2"/>
      <c r="L140" s="2"/>
      <c r="M140" s="2"/>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row>
    <row r="141" spans="1:43" x14ac:dyDescent="0.3">
      <c r="A141" s="1"/>
      <c r="B141" s="21"/>
      <c r="C141" s="11"/>
      <c r="D141" s="11"/>
      <c r="E141" s="11"/>
      <c r="F141" s="11"/>
      <c r="G141" s="11"/>
      <c r="H141" s="11"/>
      <c r="I141" s="11"/>
      <c r="J141" s="11"/>
      <c r="K141" s="2"/>
      <c r="L141" s="2"/>
      <c r="M141" s="2"/>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row>
    <row r="142" spans="1:43" x14ac:dyDescent="0.3">
      <c r="A142" s="1"/>
      <c r="B142" s="21"/>
      <c r="C142" s="11"/>
      <c r="D142" s="11"/>
      <c r="E142" s="11"/>
      <c r="F142" s="11"/>
      <c r="G142" s="11"/>
      <c r="H142" s="11"/>
      <c r="I142" s="11"/>
      <c r="J142" s="11"/>
      <c r="K142" s="2"/>
      <c r="L142" s="2"/>
      <c r="M142" s="2"/>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row>
    <row r="143" spans="1:43" x14ac:dyDescent="0.3">
      <c r="A143" s="1"/>
      <c r="B143" s="21"/>
      <c r="C143" s="11"/>
      <c r="D143" s="11"/>
      <c r="E143" s="11"/>
      <c r="F143" s="11"/>
      <c r="G143" s="11"/>
      <c r="H143" s="11"/>
      <c r="I143" s="11"/>
      <c r="J143" s="11"/>
      <c r="K143" s="2"/>
      <c r="L143" s="2"/>
      <c r="M143" s="2"/>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row>
    <row r="144" spans="1:43" x14ac:dyDescent="0.3">
      <c r="A144" s="1"/>
      <c r="B144" s="21"/>
      <c r="C144" s="11"/>
      <c r="D144" s="11"/>
      <c r="E144" s="11"/>
      <c r="F144" s="11"/>
      <c r="G144" s="11"/>
      <c r="H144" s="11"/>
      <c r="I144" s="11"/>
      <c r="J144" s="11"/>
      <c r="K144" s="2"/>
      <c r="L144" s="2"/>
      <c r="M144" s="2"/>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row>
    <row r="145" spans="1:43" x14ac:dyDescent="0.3">
      <c r="A145" s="1"/>
      <c r="B145" s="21"/>
      <c r="C145" s="11"/>
      <c r="D145" s="11"/>
      <c r="E145" s="11"/>
      <c r="F145" s="11"/>
      <c r="G145" s="11"/>
      <c r="H145" s="11"/>
      <c r="I145" s="11"/>
      <c r="J145" s="11"/>
      <c r="K145" s="2"/>
      <c r="L145" s="2"/>
      <c r="M145" s="2"/>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row>
    <row r="146" spans="1:43" x14ac:dyDescent="0.3">
      <c r="A146" s="1"/>
      <c r="B146" s="21"/>
      <c r="C146" s="11"/>
      <c r="D146" s="11"/>
      <c r="E146" s="11"/>
      <c r="F146" s="11"/>
      <c r="G146" s="11"/>
      <c r="H146" s="11"/>
      <c r="I146" s="11"/>
      <c r="J146" s="11"/>
      <c r="K146" s="2"/>
      <c r="L146" s="2"/>
      <c r="M146" s="2"/>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row>
    <row r="147" spans="1:43" x14ac:dyDescent="0.3">
      <c r="A147" s="1"/>
      <c r="B147" s="21"/>
      <c r="C147" s="11"/>
      <c r="D147" s="11"/>
      <c r="E147" s="11"/>
      <c r="F147" s="11"/>
      <c r="G147" s="11"/>
      <c r="H147" s="11"/>
      <c r="I147" s="11"/>
      <c r="J147" s="11"/>
      <c r="K147" s="2"/>
      <c r="L147" s="2"/>
      <c r="M147" s="2"/>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row>
    <row r="148" spans="1:43" x14ac:dyDescent="0.3">
      <c r="A148" s="1"/>
      <c r="B148" s="21"/>
      <c r="C148" s="11"/>
      <c r="D148" s="11"/>
      <c r="E148" s="11"/>
      <c r="F148" s="11"/>
      <c r="G148" s="11"/>
      <c r="H148" s="11"/>
      <c r="I148" s="11"/>
      <c r="J148" s="11"/>
      <c r="K148" s="2"/>
      <c r="L148" s="2"/>
      <c r="M148" s="2"/>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row>
    <row r="149" spans="1:43" x14ac:dyDescent="0.3">
      <c r="A149" s="1"/>
      <c r="B149" s="21"/>
      <c r="C149" s="11"/>
      <c r="D149" s="11"/>
      <c r="E149" s="11"/>
      <c r="F149" s="11"/>
      <c r="G149" s="11"/>
      <c r="H149" s="11"/>
      <c r="I149" s="11"/>
      <c r="J149" s="11"/>
      <c r="K149" s="2"/>
      <c r="L149" s="2"/>
      <c r="M149" s="2"/>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row>
    <row r="150" spans="1:43" x14ac:dyDescent="0.3">
      <c r="A150" s="1"/>
      <c r="B150" s="21"/>
      <c r="C150" s="11"/>
      <c r="D150" s="11"/>
      <c r="E150" s="11"/>
      <c r="F150" s="11"/>
      <c r="G150" s="11"/>
      <c r="H150" s="11"/>
      <c r="I150" s="11"/>
      <c r="J150" s="11"/>
      <c r="K150" s="2"/>
      <c r="L150" s="2"/>
      <c r="M150" s="2"/>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row>
    <row r="151" spans="1:43" x14ac:dyDescent="0.3">
      <c r="A151" s="1"/>
      <c r="B151" s="21"/>
      <c r="C151" s="11"/>
      <c r="D151" s="11"/>
      <c r="E151" s="11"/>
      <c r="F151" s="11"/>
      <c r="G151" s="11"/>
      <c r="H151" s="11"/>
      <c r="I151" s="11"/>
      <c r="J151" s="11"/>
      <c r="K151" s="2"/>
      <c r="L151" s="2"/>
      <c r="M151" s="2"/>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row>
    <row r="152" spans="1:43" x14ac:dyDescent="0.3">
      <c r="A152" s="1"/>
      <c r="B152" s="21"/>
      <c r="C152" s="11"/>
      <c r="D152" s="11"/>
      <c r="E152" s="11"/>
      <c r="F152" s="11"/>
      <c r="G152" s="11"/>
      <c r="H152" s="11"/>
      <c r="I152" s="11"/>
      <c r="J152" s="11"/>
      <c r="K152" s="2"/>
      <c r="L152" s="2"/>
      <c r="M152" s="2"/>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row>
    <row r="153" spans="1:43" x14ac:dyDescent="0.3">
      <c r="A153" s="1"/>
      <c r="B153" s="21"/>
      <c r="C153" s="11"/>
      <c r="D153" s="11"/>
      <c r="E153" s="11"/>
      <c r="F153" s="11"/>
      <c r="G153" s="11"/>
      <c r="H153" s="11"/>
      <c r="I153" s="11"/>
      <c r="J153" s="11"/>
      <c r="K153" s="2"/>
      <c r="L153" s="2"/>
      <c r="M153" s="2"/>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row>
    <row r="154" spans="1:43" x14ac:dyDescent="0.3">
      <c r="A154" s="1"/>
      <c r="B154" s="21"/>
      <c r="C154" s="11"/>
      <c r="D154" s="11"/>
      <c r="E154" s="11"/>
      <c r="F154" s="11"/>
      <c r="G154" s="11"/>
      <c r="H154" s="11"/>
      <c r="I154" s="11"/>
      <c r="J154" s="11"/>
      <c r="K154" s="2"/>
      <c r="L154" s="2"/>
      <c r="M154" s="2"/>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row>
    <row r="155" spans="1:43" x14ac:dyDescent="0.3">
      <c r="A155" s="1"/>
      <c r="B155" s="21"/>
      <c r="C155" s="11"/>
      <c r="D155" s="11"/>
      <c r="E155" s="11"/>
      <c r="F155" s="11"/>
      <c r="G155" s="11"/>
      <c r="H155" s="11"/>
      <c r="I155" s="11"/>
      <c r="J155" s="11"/>
      <c r="K155" s="2"/>
      <c r="L155" s="2"/>
      <c r="M155" s="2"/>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row>
    <row r="156" spans="1:43" x14ac:dyDescent="0.3">
      <c r="A156" s="1"/>
      <c r="B156" s="21"/>
      <c r="C156" s="11"/>
      <c r="D156" s="11"/>
      <c r="E156" s="11"/>
      <c r="F156" s="11"/>
      <c r="G156" s="11"/>
      <c r="H156" s="11"/>
      <c r="I156" s="11"/>
      <c r="J156" s="11"/>
      <c r="K156" s="2"/>
      <c r="L156" s="2"/>
      <c r="M156" s="2"/>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row>
    <row r="157" spans="1:43" x14ac:dyDescent="0.3">
      <c r="A157" s="1"/>
      <c r="B157" s="21"/>
      <c r="C157" s="11"/>
      <c r="D157" s="11"/>
      <c r="E157" s="11"/>
      <c r="F157" s="11"/>
      <c r="G157" s="11"/>
      <c r="H157" s="11"/>
      <c r="I157" s="11"/>
      <c r="J157" s="11"/>
      <c r="K157" s="2"/>
      <c r="L157" s="2"/>
      <c r="M157" s="2"/>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row>
    <row r="158" spans="1:43" x14ac:dyDescent="0.3">
      <c r="A158" s="1"/>
      <c r="B158" s="21"/>
      <c r="C158" s="11"/>
      <c r="D158" s="11"/>
      <c r="E158" s="11"/>
      <c r="F158" s="11"/>
      <c r="G158" s="11"/>
      <c r="H158" s="11"/>
      <c r="I158" s="11"/>
      <c r="J158" s="11"/>
      <c r="K158" s="2"/>
      <c r="L158" s="2"/>
      <c r="M158" s="2"/>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row>
    <row r="159" spans="1:43" x14ac:dyDescent="0.3">
      <c r="A159" s="1"/>
      <c r="B159" s="21"/>
      <c r="C159" s="2"/>
      <c r="D159" s="2"/>
      <c r="E159" s="2"/>
      <c r="F159" s="2"/>
      <c r="G159" s="2"/>
      <c r="H159" s="2"/>
      <c r="I159" s="2"/>
      <c r="J159" s="2"/>
      <c r="K159" s="2"/>
      <c r="L159" s="2"/>
      <c r="M159" s="2"/>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row>
    <row r="160" spans="1:43" x14ac:dyDescent="0.3">
      <c r="A160" s="1"/>
      <c r="B160" s="21"/>
      <c r="C160" s="18"/>
      <c r="D160" s="18"/>
      <c r="E160" s="18"/>
      <c r="F160" s="18"/>
      <c r="G160" s="18"/>
      <c r="H160" s="18"/>
      <c r="I160" s="18"/>
      <c r="J160" s="18"/>
      <c r="K160" s="2"/>
      <c r="L160" s="2"/>
      <c r="M160" s="2"/>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row>
    <row r="161" spans="1:43" x14ac:dyDescent="0.3">
      <c r="A161" s="1"/>
      <c r="B161" s="21"/>
      <c r="C161" s="11"/>
      <c r="D161" s="11"/>
      <c r="E161" s="11"/>
      <c r="F161" s="11"/>
      <c r="G161" s="11"/>
      <c r="H161" s="11"/>
      <c r="I161" s="11"/>
      <c r="J161" s="11"/>
      <c r="K161" s="2"/>
      <c r="L161" s="2"/>
      <c r="M161" s="2"/>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row>
    <row r="162" spans="1:43" x14ac:dyDescent="0.3">
      <c r="A162" s="1"/>
      <c r="B162" s="21"/>
      <c r="C162" s="11"/>
      <c r="D162" s="11"/>
      <c r="E162" s="11"/>
      <c r="F162" s="11"/>
      <c r="G162" s="11"/>
      <c r="H162" s="11"/>
      <c r="I162" s="11"/>
      <c r="J162" s="11"/>
      <c r="K162" s="2"/>
      <c r="L162" s="2"/>
      <c r="M162" s="2"/>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row>
    <row r="163" spans="1:43" x14ac:dyDescent="0.3">
      <c r="A163" s="1"/>
      <c r="B163" s="21"/>
      <c r="C163" s="11"/>
      <c r="D163" s="11"/>
      <c r="E163" s="11"/>
      <c r="F163" s="11"/>
      <c r="G163" s="11"/>
      <c r="H163" s="11"/>
      <c r="I163" s="11"/>
      <c r="J163" s="11"/>
      <c r="K163" s="2"/>
      <c r="L163" s="2"/>
      <c r="M163" s="2"/>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row>
    <row r="164" spans="1:43" x14ac:dyDescent="0.3">
      <c r="A164" s="1"/>
      <c r="B164" s="21"/>
      <c r="C164" s="11"/>
      <c r="D164" s="11"/>
      <c r="E164" s="11"/>
      <c r="F164" s="11"/>
      <c r="G164" s="11"/>
      <c r="H164" s="11"/>
      <c r="I164" s="11"/>
      <c r="J164" s="11"/>
      <c r="K164" s="2"/>
      <c r="L164" s="2"/>
      <c r="M164" s="2"/>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row>
    <row r="165" spans="1:43" x14ac:dyDescent="0.3">
      <c r="A165" s="1"/>
      <c r="B165" s="21"/>
      <c r="C165" s="15"/>
      <c r="D165" s="15"/>
      <c r="E165" s="15"/>
      <c r="F165" s="15"/>
      <c r="G165" s="15"/>
      <c r="H165" s="15"/>
      <c r="I165" s="15"/>
      <c r="J165" s="15"/>
      <c r="K165" s="2"/>
      <c r="L165" s="2"/>
      <c r="M165" s="2"/>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row>
    <row r="166" spans="1:43" x14ac:dyDescent="0.3">
      <c r="A166" s="1"/>
      <c r="B166" s="21"/>
      <c r="C166" s="11"/>
      <c r="D166" s="11"/>
      <c r="E166" s="11"/>
      <c r="F166" s="11"/>
      <c r="G166" s="11"/>
      <c r="H166" s="11"/>
      <c r="I166" s="11"/>
      <c r="J166" s="11"/>
      <c r="K166" s="2"/>
      <c r="L166" s="2"/>
      <c r="M166" s="2"/>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row>
    <row r="167" spans="1:43" x14ac:dyDescent="0.3">
      <c r="A167" s="1"/>
      <c r="B167" s="21"/>
      <c r="C167" s="11"/>
      <c r="D167" s="11"/>
      <c r="E167" s="11"/>
      <c r="F167" s="11"/>
      <c r="G167" s="11"/>
      <c r="H167" s="11"/>
      <c r="I167" s="11"/>
      <c r="J167" s="11"/>
      <c r="K167" s="2"/>
      <c r="L167" s="2"/>
      <c r="M167" s="2"/>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row>
    <row r="168" spans="1:43" x14ac:dyDescent="0.3">
      <c r="A168" s="1"/>
      <c r="B168" s="21"/>
      <c r="C168" s="11"/>
      <c r="D168" s="11"/>
      <c r="E168" s="11"/>
      <c r="F168" s="11"/>
      <c r="G168" s="11"/>
      <c r="H168" s="11"/>
      <c r="I168" s="11"/>
      <c r="J168" s="11"/>
      <c r="K168" s="2"/>
      <c r="L168" s="2"/>
      <c r="M168" s="2"/>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row>
    <row r="169" spans="1:43" x14ac:dyDescent="0.3">
      <c r="A169" s="1"/>
      <c r="B169" s="21"/>
      <c r="C169" s="11"/>
      <c r="D169" s="11"/>
      <c r="E169" s="11"/>
      <c r="F169" s="11"/>
      <c r="G169" s="11"/>
      <c r="H169" s="11"/>
      <c r="I169" s="11"/>
      <c r="J169" s="11"/>
      <c r="K169" s="2"/>
      <c r="L169" s="2"/>
      <c r="M169" s="2"/>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row>
    <row r="170" spans="1:43" x14ac:dyDescent="0.3">
      <c r="A170" s="1"/>
      <c r="B170" s="21"/>
      <c r="C170" s="11"/>
      <c r="D170" s="11"/>
      <c r="E170" s="11"/>
      <c r="F170" s="11"/>
      <c r="G170" s="11"/>
      <c r="H170" s="11"/>
      <c r="I170" s="11"/>
      <c r="J170" s="11"/>
      <c r="K170" s="2"/>
      <c r="L170" s="2"/>
      <c r="M170" s="2"/>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row>
    <row r="171" spans="1:43" x14ac:dyDescent="0.3">
      <c r="A171" s="1"/>
      <c r="B171" s="21"/>
      <c r="C171" s="11"/>
      <c r="D171" s="11"/>
      <c r="E171" s="11"/>
      <c r="F171" s="11"/>
      <c r="G171" s="11"/>
      <c r="H171" s="11"/>
      <c r="I171" s="11"/>
      <c r="J171" s="11"/>
      <c r="K171" s="2"/>
      <c r="L171" s="2"/>
      <c r="M171" s="2"/>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row>
    <row r="172" spans="1:43" x14ac:dyDescent="0.3">
      <c r="A172" s="1"/>
      <c r="B172" s="21"/>
      <c r="C172" s="11"/>
      <c r="D172" s="11"/>
      <c r="E172" s="11"/>
      <c r="F172" s="11"/>
      <c r="G172" s="11"/>
      <c r="H172" s="11"/>
      <c r="I172" s="11"/>
      <c r="J172" s="11"/>
      <c r="K172" s="2"/>
      <c r="L172" s="2"/>
      <c r="M172" s="2"/>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row>
    <row r="173" spans="1:43" x14ac:dyDescent="0.3">
      <c r="A173" s="1"/>
      <c r="B173" s="21"/>
      <c r="C173" s="11"/>
      <c r="D173" s="11"/>
      <c r="E173" s="11"/>
      <c r="F173" s="11"/>
      <c r="G173" s="11"/>
      <c r="H173" s="11"/>
      <c r="I173" s="11"/>
      <c r="J173" s="11"/>
      <c r="K173" s="2"/>
      <c r="L173" s="2"/>
      <c r="M173" s="2"/>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row>
    <row r="174" spans="1:43" x14ac:dyDescent="0.3">
      <c r="A174" s="1"/>
      <c r="B174" s="21"/>
      <c r="C174" s="2"/>
      <c r="D174" s="2"/>
      <c r="E174" s="2"/>
      <c r="F174" s="2"/>
      <c r="G174" s="2"/>
      <c r="H174" s="2"/>
      <c r="I174" s="2"/>
      <c r="J174" s="2"/>
      <c r="K174" s="2"/>
      <c r="L174" s="2"/>
      <c r="M174" s="2"/>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row>
    <row r="175" spans="1:43" x14ac:dyDescent="0.3">
      <c r="A175" s="1"/>
      <c r="B175" s="21"/>
      <c r="C175" s="18"/>
      <c r="D175" s="18"/>
      <c r="E175" s="18"/>
      <c r="F175" s="18"/>
      <c r="G175" s="18"/>
      <c r="H175" s="18"/>
      <c r="I175" s="18"/>
      <c r="J175" s="18"/>
      <c r="K175" s="2"/>
      <c r="L175" s="2"/>
      <c r="M175" s="2"/>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row>
    <row r="176" spans="1:43" x14ac:dyDescent="0.3">
      <c r="A176" s="1"/>
      <c r="B176" s="21"/>
      <c r="C176" s="11"/>
      <c r="D176" s="11"/>
      <c r="E176" s="11"/>
      <c r="F176" s="11"/>
      <c r="G176" s="11"/>
      <c r="H176" s="11"/>
      <c r="I176" s="11"/>
      <c r="J176" s="11"/>
      <c r="K176" s="2"/>
      <c r="L176" s="2"/>
      <c r="M176" s="2"/>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row>
    <row r="177" spans="1:43" x14ac:dyDescent="0.3">
      <c r="A177" s="1"/>
      <c r="B177" s="21"/>
      <c r="C177" s="11"/>
      <c r="D177" s="11"/>
      <c r="E177" s="11"/>
      <c r="F177" s="11"/>
      <c r="G177" s="11"/>
      <c r="H177" s="11"/>
      <c r="I177" s="11"/>
      <c r="J177" s="11"/>
      <c r="K177" s="2"/>
      <c r="L177" s="2"/>
      <c r="M177" s="2"/>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row>
    <row r="178" spans="1:43" x14ac:dyDescent="0.3">
      <c r="A178" s="1"/>
      <c r="B178" s="21"/>
      <c r="C178" s="15"/>
      <c r="D178" s="15"/>
      <c r="E178" s="15"/>
      <c r="F178" s="15"/>
      <c r="G178" s="15"/>
      <c r="H178" s="15"/>
      <c r="I178" s="15"/>
      <c r="J178" s="15"/>
      <c r="K178" s="2"/>
      <c r="L178" s="2"/>
      <c r="M178" s="2"/>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row>
    <row r="179" spans="1:43" x14ac:dyDescent="0.3">
      <c r="A179" s="1"/>
      <c r="B179" s="21"/>
      <c r="C179" s="11"/>
      <c r="D179" s="11"/>
      <c r="E179" s="11"/>
      <c r="F179" s="11"/>
      <c r="G179" s="11"/>
      <c r="H179" s="11"/>
      <c r="I179" s="11"/>
      <c r="J179" s="11"/>
      <c r="K179" s="2"/>
      <c r="L179" s="2"/>
      <c r="M179" s="2"/>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row>
    <row r="180" spans="1:43" x14ac:dyDescent="0.3">
      <c r="A180" s="1"/>
      <c r="B180" s="21"/>
      <c r="C180" s="11"/>
      <c r="D180" s="11"/>
      <c r="E180" s="11"/>
      <c r="F180" s="11"/>
      <c r="G180" s="11"/>
      <c r="H180" s="11"/>
      <c r="I180" s="11"/>
      <c r="J180" s="11"/>
      <c r="K180" s="2"/>
      <c r="L180" s="2"/>
      <c r="M180" s="2"/>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row>
    <row r="181" spans="1:43" x14ac:dyDescent="0.3">
      <c r="A181" s="1"/>
      <c r="B181" s="21"/>
      <c r="C181" s="11"/>
      <c r="D181" s="11"/>
      <c r="E181" s="11"/>
      <c r="F181" s="11"/>
      <c r="G181" s="11"/>
      <c r="H181" s="11"/>
      <c r="I181" s="11"/>
      <c r="J181" s="11"/>
      <c r="K181" s="2"/>
      <c r="L181" s="2"/>
      <c r="M181" s="2"/>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row>
    <row r="182" spans="1:43" x14ac:dyDescent="0.3">
      <c r="A182" s="1"/>
      <c r="B182" s="21"/>
      <c r="C182" s="11"/>
      <c r="D182" s="11"/>
      <c r="E182" s="11"/>
      <c r="F182" s="11"/>
      <c r="G182" s="11"/>
      <c r="H182" s="11"/>
      <c r="I182" s="11"/>
      <c r="J182" s="11"/>
      <c r="K182" s="2"/>
      <c r="L182" s="2"/>
      <c r="M182" s="2"/>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row>
    <row r="183" spans="1:43" x14ac:dyDescent="0.3">
      <c r="A183" s="1"/>
      <c r="B183" s="21"/>
      <c r="C183" s="11"/>
      <c r="D183" s="11"/>
      <c r="E183" s="11"/>
      <c r="F183" s="11"/>
      <c r="G183" s="11"/>
      <c r="H183" s="11"/>
      <c r="I183" s="11"/>
      <c r="J183" s="11"/>
      <c r="K183" s="2"/>
      <c r="L183" s="2"/>
      <c r="M183" s="2"/>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row>
    <row r="184" spans="1:43" x14ac:dyDescent="0.3">
      <c r="A184" s="1"/>
      <c r="B184" s="21"/>
      <c r="C184" s="11"/>
      <c r="D184" s="11"/>
      <c r="E184" s="11"/>
      <c r="F184" s="11"/>
      <c r="G184" s="11"/>
      <c r="H184" s="11"/>
      <c r="I184" s="11"/>
      <c r="J184" s="11"/>
      <c r="K184" s="2"/>
      <c r="L184" s="2"/>
      <c r="M184" s="2"/>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row>
    <row r="185" spans="1:43" x14ac:dyDescent="0.3">
      <c r="A185" s="1"/>
      <c r="B185" s="21"/>
      <c r="C185" s="11"/>
      <c r="D185" s="11"/>
      <c r="E185" s="11"/>
      <c r="F185" s="11"/>
      <c r="G185" s="11"/>
      <c r="H185" s="11"/>
      <c r="I185" s="11"/>
      <c r="J185" s="11"/>
      <c r="K185" s="2"/>
      <c r="L185" s="2"/>
      <c r="M185" s="2"/>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row>
    <row r="186" spans="1:43" x14ac:dyDescent="0.3">
      <c r="A186" s="1"/>
      <c r="B186" s="21"/>
      <c r="C186" s="15"/>
      <c r="D186" s="15"/>
      <c r="E186" s="15"/>
      <c r="F186" s="15"/>
      <c r="G186" s="15"/>
      <c r="H186" s="15"/>
      <c r="I186" s="15"/>
      <c r="J186" s="15"/>
      <c r="K186" s="2"/>
      <c r="L186" s="2"/>
      <c r="M186" s="2"/>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row>
    <row r="187" spans="1:43" x14ac:dyDescent="0.3">
      <c r="A187" s="1"/>
      <c r="B187" s="21"/>
      <c r="C187" s="15"/>
      <c r="D187" s="15"/>
      <c r="E187" s="15"/>
      <c r="F187" s="15"/>
      <c r="G187" s="15"/>
      <c r="H187" s="15"/>
      <c r="I187" s="15"/>
      <c r="J187" s="15"/>
      <c r="K187" s="2"/>
      <c r="L187" s="2"/>
      <c r="M187" s="2"/>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row>
    <row r="188" spans="1:43" x14ac:dyDescent="0.3">
      <c r="A188" s="1"/>
      <c r="B188" s="21"/>
      <c r="C188" s="15"/>
      <c r="D188" s="15"/>
      <c r="E188" s="15"/>
      <c r="F188" s="15"/>
      <c r="G188" s="15"/>
      <c r="H188" s="15"/>
      <c r="I188" s="15"/>
      <c r="J188" s="15"/>
      <c r="K188" s="2"/>
      <c r="L188" s="2"/>
      <c r="M188" s="2"/>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row>
    <row r="189" spans="1:43" x14ac:dyDescent="0.3">
      <c r="A189" s="1"/>
      <c r="B189" s="21"/>
      <c r="C189" s="11"/>
      <c r="D189" s="11"/>
      <c r="E189" s="11"/>
      <c r="F189" s="11"/>
      <c r="G189" s="11"/>
      <c r="H189" s="11"/>
      <c r="I189" s="11"/>
      <c r="J189" s="11"/>
      <c r="K189" s="2"/>
      <c r="L189" s="2"/>
      <c r="M189" s="2"/>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row>
    <row r="190" spans="1:43" x14ac:dyDescent="0.3">
      <c r="A190" s="1"/>
      <c r="B190" s="1"/>
      <c r="C190" s="2"/>
      <c r="D190" s="2"/>
      <c r="E190" s="2"/>
      <c r="F190" s="2"/>
      <c r="G190" s="2"/>
      <c r="H190" s="2"/>
      <c r="I190" s="2"/>
      <c r="J190" s="2"/>
      <c r="K190" s="2"/>
      <c r="L190" s="2"/>
      <c r="M190" s="2"/>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row>
    <row r="191" spans="1:43" x14ac:dyDescent="0.3">
      <c r="A191" s="1"/>
      <c r="B191" s="1"/>
      <c r="C191" s="2"/>
      <c r="D191" s="2"/>
      <c r="E191" s="2"/>
      <c r="F191" s="2"/>
      <c r="G191" s="2"/>
      <c r="H191" s="2"/>
      <c r="I191" s="2"/>
      <c r="J191" s="2"/>
      <c r="K191" s="2"/>
      <c r="L191" s="2"/>
      <c r="M191" s="2"/>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row>
    <row r="192" spans="1:43" x14ac:dyDescent="0.3">
      <c r="A192" s="1"/>
      <c r="B192" s="1"/>
      <c r="C192" s="2"/>
      <c r="D192" s="2"/>
      <c r="E192" s="2"/>
      <c r="F192" s="2"/>
      <c r="G192" s="2"/>
      <c r="H192" s="2"/>
      <c r="I192" s="2"/>
      <c r="J192" s="2"/>
      <c r="K192" s="2"/>
      <c r="L192" s="2"/>
      <c r="M192" s="2"/>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row>
    <row r="193" spans="1:43" x14ac:dyDescent="0.3">
      <c r="A193" s="1"/>
      <c r="B193" s="1"/>
      <c r="C193" s="2"/>
      <c r="D193" s="2"/>
      <c r="E193" s="2"/>
      <c r="F193" s="2"/>
      <c r="G193" s="2"/>
      <c r="H193" s="2"/>
      <c r="I193" s="2"/>
      <c r="J193" s="2"/>
      <c r="K193" s="2"/>
      <c r="L193" s="2"/>
      <c r="M193" s="2"/>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row>
    <row r="194" spans="1:43" x14ac:dyDescent="0.3">
      <c r="A194" s="1"/>
      <c r="B194" s="1"/>
      <c r="C194" s="2"/>
      <c r="D194" s="2"/>
      <c r="E194" s="2"/>
      <c r="F194" s="2"/>
      <c r="G194" s="2"/>
      <c r="H194" s="2"/>
      <c r="I194" s="2"/>
      <c r="J194" s="2"/>
      <c r="K194" s="2"/>
      <c r="L194" s="2"/>
      <c r="M194" s="2"/>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row>
    <row r="195" spans="1:43" x14ac:dyDescent="0.3">
      <c r="A195" s="1"/>
      <c r="B195" s="1"/>
      <c r="C195" s="2"/>
      <c r="D195" s="2"/>
      <c r="E195" s="2"/>
      <c r="F195" s="2"/>
      <c r="G195" s="2"/>
      <c r="H195" s="2"/>
      <c r="I195" s="2"/>
      <c r="J195" s="2"/>
      <c r="K195" s="2"/>
      <c r="L195" s="2"/>
      <c r="M195" s="2"/>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row>
    <row r="196" spans="1:43" x14ac:dyDescent="0.3">
      <c r="A196" s="1"/>
      <c r="B196" s="1"/>
      <c r="C196" s="2"/>
      <c r="D196" s="2"/>
      <c r="E196" s="2"/>
      <c r="F196" s="2"/>
      <c r="G196" s="2"/>
      <c r="H196" s="2"/>
      <c r="I196" s="2"/>
      <c r="J196" s="2"/>
      <c r="K196" s="2"/>
      <c r="L196" s="2"/>
      <c r="M196" s="2"/>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row>
    <row r="197" spans="1:43" x14ac:dyDescent="0.3">
      <c r="A197" s="1"/>
      <c r="B197" s="1"/>
      <c r="C197" s="2"/>
      <c r="D197" s="2"/>
      <c r="E197" s="2"/>
      <c r="F197" s="2"/>
      <c r="G197" s="2"/>
      <c r="H197" s="2"/>
      <c r="I197" s="2"/>
      <c r="J197" s="2"/>
      <c r="K197" s="2"/>
      <c r="L197" s="2"/>
      <c r="M197" s="2"/>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row>
    <row r="198" spans="1:43" x14ac:dyDescent="0.3">
      <c r="A198" s="1"/>
      <c r="B198" s="1"/>
      <c r="C198" s="2"/>
      <c r="D198" s="2"/>
      <c r="E198" s="2"/>
      <c r="F198" s="2"/>
      <c r="G198" s="2"/>
      <c r="H198" s="2"/>
      <c r="I198" s="2"/>
      <c r="J198" s="2"/>
      <c r="K198" s="2"/>
      <c r="L198" s="2"/>
      <c r="M198" s="2"/>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row>
    <row r="199" spans="1:43" x14ac:dyDescent="0.3">
      <c r="A199" s="1"/>
      <c r="B199" s="1"/>
      <c r="C199" s="2"/>
      <c r="D199" s="2"/>
      <c r="E199" s="2"/>
      <c r="F199" s="2"/>
      <c r="G199" s="2"/>
      <c r="H199" s="2"/>
      <c r="I199" s="2"/>
      <c r="J199" s="2"/>
      <c r="K199" s="2"/>
      <c r="L199" s="2"/>
      <c r="M199" s="2"/>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row>
    <row r="200" spans="1:43" x14ac:dyDescent="0.3">
      <c r="A200" s="1"/>
      <c r="B200" s="1"/>
      <c r="C200" s="2"/>
      <c r="D200" s="2"/>
      <c r="E200" s="2"/>
      <c r="F200" s="2"/>
      <c r="G200" s="2"/>
      <c r="H200" s="2"/>
      <c r="I200" s="2"/>
      <c r="J200" s="2"/>
      <c r="K200" s="2"/>
      <c r="L200" s="2"/>
      <c r="M200" s="2"/>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row>
    <row r="201" spans="1:43" x14ac:dyDescent="0.3">
      <c r="A201" s="1"/>
      <c r="B201" s="1"/>
      <c r="C201" s="2"/>
      <c r="D201" s="2"/>
      <c r="E201" s="2"/>
      <c r="F201" s="2"/>
      <c r="G201" s="2"/>
      <c r="H201" s="2"/>
      <c r="I201" s="2"/>
      <c r="J201" s="2"/>
      <c r="K201" s="2"/>
      <c r="L201" s="2"/>
      <c r="M201" s="2"/>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row>
    <row r="202" spans="1:43" x14ac:dyDescent="0.3">
      <c r="A202" s="1"/>
      <c r="B202" s="1"/>
      <c r="C202" s="2"/>
      <c r="D202" s="2"/>
      <c r="E202" s="2"/>
      <c r="F202" s="2"/>
      <c r="G202" s="2"/>
      <c r="H202" s="2"/>
      <c r="I202" s="2"/>
      <c r="J202" s="2"/>
      <c r="K202" s="2"/>
      <c r="L202" s="2"/>
      <c r="M202" s="2"/>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row>
    <row r="203" spans="1:43" x14ac:dyDescent="0.3">
      <c r="A203" s="1"/>
      <c r="B203" s="1"/>
      <c r="C203" s="2"/>
      <c r="D203" s="2"/>
      <c r="E203" s="2"/>
      <c r="F203" s="2"/>
      <c r="G203" s="2"/>
      <c r="H203" s="2"/>
      <c r="I203" s="2"/>
      <c r="J203" s="2"/>
      <c r="K203" s="2"/>
      <c r="L203" s="2"/>
      <c r="M203" s="2"/>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row>
    <row r="204" spans="1:43" x14ac:dyDescent="0.3">
      <c r="A204" s="1"/>
      <c r="B204" s="1"/>
      <c r="C204" s="2"/>
      <c r="D204" s="2"/>
      <c r="E204" s="2"/>
      <c r="F204" s="2"/>
      <c r="G204" s="2"/>
      <c r="H204" s="2"/>
      <c r="I204" s="2"/>
      <c r="J204" s="2"/>
      <c r="K204" s="2"/>
      <c r="L204" s="2"/>
      <c r="M204" s="2"/>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row>
    <row r="205" spans="1:43" x14ac:dyDescent="0.3">
      <c r="A205" s="1"/>
      <c r="B205" s="1"/>
      <c r="C205" s="2"/>
      <c r="D205" s="2"/>
      <c r="E205" s="2"/>
      <c r="F205" s="2"/>
      <c r="G205" s="2"/>
      <c r="H205" s="2"/>
      <c r="I205" s="2"/>
      <c r="J205" s="2"/>
      <c r="K205" s="2"/>
      <c r="L205" s="2"/>
      <c r="M205" s="2"/>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row>
    <row r="206" spans="1:43" x14ac:dyDescent="0.3">
      <c r="A206" s="1"/>
      <c r="B206" s="1"/>
      <c r="C206" s="2"/>
      <c r="D206" s="2"/>
      <c r="E206" s="2"/>
      <c r="F206" s="2"/>
      <c r="G206" s="2"/>
      <c r="H206" s="2"/>
      <c r="I206" s="2"/>
      <c r="J206" s="2"/>
      <c r="K206" s="2"/>
      <c r="L206" s="2"/>
      <c r="M206" s="2"/>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row>
    <row r="207" spans="1:43" x14ac:dyDescent="0.3">
      <c r="A207" s="1"/>
      <c r="B207" s="1"/>
      <c r="C207" s="2"/>
      <c r="D207" s="2"/>
      <c r="E207" s="2"/>
      <c r="F207" s="2"/>
      <c r="G207" s="2"/>
      <c r="H207" s="2"/>
      <c r="I207" s="2"/>
      <c r="J207" s="2"/>
      <c r="K207" s="2"/>
      <c r="L207" s="2"/>
      <c r="M207" s="2"/>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row>
    <row r="208" spans="1:43" x14ac:dyDescent="0.3">
      <c r="A208" s="1"/>
      <c r="B208" s="1"/>
      <c r="C208" s="2"/>
      <c r="D208" s="2"/>
      <c r="E208" s="2"/>
      <c r="F208" s="2"/>
      <c r="G208" s="2"/>
      <c r="H208" s="2"/>
      <c r="I208" s="2"/>
      <c r="J208" s="2"/>
      <c r="K208" s="2"/>
      <c r="L208" s="2"/>
      <c r="M208" s="2"/>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row>
    <row r="209" spans="1:43" x14ac:dyDescent="0.3">
      <c r="A209" s="1"/>
      <c r="B209" s="1"/>
      <c r="C209" s="2"/>
      <c r="D209" s="2"/>
      <c r="E209" s="2"/>
      <c r="F209" s="2"/>
      <c r="G209" s="2"/>
      <c r="H209" s="2"/>
      <c r="I209" s="2"/>
      <c r="J209" s="2"/>
      <c r="K209" s="2"/>
      <c r="L209" s="2"/>
      <c r="M209" s="2"/>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row>
    <row r="210" spans="1:43" x14ac:dyDescent="0.3">
      <c r="A210" s="1"/>
      <c r="B210" s="1"/>
      <c r="C210" s="2"/>
      <c r="D210" s="2"/>
      <c r="E210" s="2"/>
      <c r="F210" s="2"/>
      <c r="G210" s="2"/>
      <c r="H210" s="2"/>
      <c r="I210" s="2"/>
      <c r="J210" s="2"/>
      <c r="K210" s="2"/>
      <c r="L210" s="2"/>
      <c r="M210" s="2"/>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row>
    <row r="211" spans="1:43" x14ac:dyDescent="0.3">
      <c r="A211" s="1"/>
      <c r="B211" s="1"/>
      <c r="C211" s="2"/>
      <c r="D211" s="2"/>
      <c r="E211" s="2"/>
      <c r="F211" s="2"/>
      <c r="G211" s="2"/>
      <c r="H211" s="2"/>
      <c r="I211" s="2"/>
      <c r="J211" s="2"/>
      <c r="K211" s="2"/>
      <c r="L211" s="2"/>
      <c r="M211" s="2"/>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row>
    <row r="212" spans="1:43" x14ac:dyDescent="0.3">
      <c r="A212" s="1"/>
      <c r="B212" s="1"/>
      <c r="C212" s="2"/>
      <c r="D212" s="2"/>
      <c r="E212" s="2"/>
      <c r="F212" s="2"/>
      <c r="G212" s="2"/>
      <c r="H212" s="2"/>
      <c r="I212" s="2"/>
      <c r="J212" s="2"/>
      <c r="K212" s="2"/>
      <c r="L212" s="2"/>
      <c r="M212" s="2"/>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row>
    <row r="213" spans="1:43" x14ac:dyDescent="0.3">
      <c r="A213" s="1"/>
      <c r="B213" s="1"/>
      <c r="C213" s="2"/>
      <c r="D213" s="2"/>
      <c r="E213" s="2"/>
      <c r="F213" s="2"/>
      <c r="G213" s="2"/>
      <c r="H213" s="2"/>
      <c r="I213" s="2"/>
      <c r="J213" s="2"/>
      <c r="K213" s="2"/>
      <c r="L213" s="2"/>
      <c r="M213" s="2"/>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row>
    <row r="214" spans="1:43" x14ac:dyDescent="0.3">
      <c r="A214" s="1"/>
      <c r="B214" s="1"/>
      <c r="C214" s="2"/>
      <c r="D214" s="2"/>
      <c r="E214" s="2"/>
      <c r="F214" s="2"/>
      <c r="G214" s="2"/>
      <c r="H214" s="2"/>
      <c r="I214" s="2"/>
      <c r="J214" s="2"/>
      <c r="K214" s="2"/>
      <c r="L214" s="2"/>
      <c r="M214" s="2"/>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row>
    <row r="215" spans="1:43" x14ac:dyDescent="0.3">
      <c r="A215" s="1"/>
      <c r="B215" s="1"/>
      <c r="C215" s="2"/>
      <c r="D215" s="2"/>
      <c r="E215" s="2"/>
      <c r="F215" s="2"/>
      <c r="G215" s="2"/>
      <c r="H215" s="2"/>
      <c r="I215" s="2"/>
      <c r="J215" s="2"/>
      <c r="K215" s="2"/>
      <c r="L215" s="2"/>
      <c r="M215" s="2"/>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row>
    <row r="216" spans="1:43" x14ac:dyDescent="0.3">
      <c r="A216" s="1"/>
      <c r="B216" s="1"/>
      <c r="C216" s="2"/>
      <c r="D216" s="2"/>
      <c r="E216" s="2"/>
      <c r="F216" s="2"/>
      <c r="G216" s="2"/>
      <c r="H216" s="2"/>
      <c r="I216" s="2"/>
      <c r="J216" s="2"/>
      <c r="K216" s="2"/>
      <c r="L216" s="2"/>
      <c r="M216" s="2"/>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row>
    <row r="217" spans="1:43" x14ac:dyDescent="0.3">
      <c r="A217" s="1"/>
      <c r="B217" s="1"/>
      <c r="C217" s="2"/>
      <c r="D217" s="2"/>
      <c r="E217" s="2"/>
      <c r="F217" s="2"/>
      <c r="G217" s="2"/>
      <c r="H217" s="2"/>
      <c r="I217" s="2"/>
      <c r="J217" s="2"/>
      <c r="K217" s="2"/>
      <c r="L217" s="2"/>
      <c r="M217" s="2"/>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row>
    <row r="218" spans="1:43" x14ac:dyDescent="0.3">
      <c r="A218" s="1"/>
      <c r="B218" s="1"/>
      <c r="C218" s="2"/>
      <c r="D218" s="2"/>
      <c r="E218" s="2"/>
      <c r="F218" s="2"/>
      <c r="G218" s="2"/>
      <c r="H218" s="2"/>
      <c r="I218" s="2"/>
      <c r="J218" s="2"/>
      <c r="K218" s="2"/>
      <c r="L218" s="2"/>
      <c r="M218" s="2"/>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row>
    <row r="219" spans="1:43" x14ac:dyDescent="0.3">
      <c r="A219" s="1"/>
      <c r="B219" s="1"/>
      <c r="C219" s="2"/>
      <c r="D219" s="2"/>
      <c r="E219" s="2"/>
      <c r="F219" s="2"/>
      <c r="G219" s="2"/>
      <c r="H219" s="2"/>
      <c r="I219" s="2"/>
      <c r="J219" s="2"/>
      <c r="K219" s="2"/>
      <c r="L219" s="2"/>
      <c r="M219" s="2"/>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row>
    <row r="220" spans="1:43" x14ac:dyDescent="0.3">
      <c r="A220" s="1"/>
      <c r="B220" s="1"/>
      <c r="C220" s="2"/>
      <c r="D220" s="2"/>
      <c r="E220" s="2"/>
      <c r="F220" s="2"/>
      <c r="G220" s="2"/>
      <c r="H220" s="2"/>
      <c r="I220" s="2"/>
      <c r="J220" s="2"/>
      <c r="K220" s="2"/>
      <c r="L220" s="2"/>
      <c r="M220" s="2"/>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row>
    <row r="221" spans="1:43" x14ac:dyDescent="0.3">
      <c r="A221" s="1"/>
      <c r="B221" s="1"/>
      <c r="C221" s="2"/>
      <c r="D221" s="2"/>
      <c r="E221" s="2"/>
      <c r="F221" s="2"/>
      <c r="G221" s="2"/>
      <c r="H221" s="2"/>
      <c r="I221" s="2"/>
      <c r="J221" s="2"/>
      <c r="K221" s="2"/>
      <c r="L221" s="2"/>
      <c r="M221" s="2"/>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row>
    <row r="222" spans="1:43" x14ac:dyDescent="0.3">
      <c r="A222" s="1"/>
      <c r="B222" s="1"/>
      <c r="C222" s="2"/>
      <c r="D222" s="2"/>
      <c r="E222" s="2"/>
      <c r="F222" s="2"/>
      <c r="G222" s="2"/>
      <c r="H222" s="2"/>
      <c r="I222" s="2"/>
      <c r="J222" s="2"/>
      <c r="K222" s="2"/>
      <c r="L222" s="2"/>
      <c r="M222" s="2"/>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row>
    <row r="223" spans="1:43" x14ac:dyDescent="0.3">
      <c r="A223" s="1"/>
      <c r="B223" s="1"/>
      <c r="C223" s="2"/>
      <c r="D223" s="2"/>
      <c r="E223" s="2"/>
      <c r="F223" s="2"/>
      <c r="G223" s="2"/>
      <c r="H223" s="2"/>
      <c r="I223" s="2"/>
      <c r="J223" s="2"/>
      <c r="K223" s="2"/>
      <c r="L223" s="2"/>
      <c r="M223" s="2"/>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row>
    <row r="224" spans="1:43" x14ac:dyDescent="0.3">
      <c r="A224" s="1"/>
      <c r="B224" s="1"/>
      <c r="C224" s="2"/>
      <c r="D224" s="2"/>
      <c r="E224" s="2"/>
      <c r="F224" s="2"/>
      <c r="G224" s="2"/>
      <c r="H224" s="2"/>
      <c r="I224" s="2"/>
      <c r="J224" s="2"/>
      <c r="K224" s="2"/>
      <c r="L224" s="2"/>
      <c r="M224" s="2"/>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row>
    <row r="225" spans="1:43" x14ac:dyDescent="0.3">
      <c r="A225" s="1"/>
      <c r="B225" s="1"/>
      <c r="C225" s="2"/>
      <c r="D225" s="2"/>
      <c r="E225" s="2"/>
      <c r="F225" s="2"/>
      <c r="G225" s="2"/>
      <c r="H225" s="2"/>
      <c r="I225" s="2"/>
      <c r="J225" s="2"/>
      <c r="K225" s="2"/>
      <c r="L225" s="2"/>
      <c r="M225" s="2"/>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row>
    <row r="226" spans="1:43" x14ac:dyDescent="0.3">
      <c r="A226" s="1"/>
      <c r="B226" s="1"/>
      <c r="C226" s="2"/>
      <c r="D226" s="2"/>
      <c r="E226" s="2"/>
      <c r="F226" s="2"/>
      <c r="G226" s="2"/>
      <c r="H226" s="2"/>
      <c r="I226" s="2"/>
      <c r="J226" s="2"/>
      <c r="K226" s="2"/>
      <c r="L226" s="2"/>
      <c r="M226" s="2"/>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row>
    <row r="227" spans="1:43" x14ac:dyDescent="0.3">
      <c r="A227" s="1"/>
      <c r="B227" s="1"/>
      <c r="C227" s="2"/>
      <c r="D227" s="2"/>
      <c r="E227" s="2"/>
      <c r="F227" s="2"/>
      <c r="G227" s="2"/>
      <c r="H227" s="2"/>
      <c r="I227" s="2"/>
      <c r="J227" s="2"/>
      <c r="K227" s="2"/>
      <c r="L227" s="2"/>
      <c r="M227" s="2"/>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row>
    <row r="228" spans="1:43" x14ac:dyDescent="0.3">
      <c r="A228" s="1"/>
      <c r="B228" s="1"/>
      <c r="C228" s="2"/>
      <c r="D228" s="2"/>
      <c r="E228" s="2"/>
      <c r="F228" s="2"/>
      <c r="G228" s="2"/>
      <c r="H228" s="2"/>
      <c r="I228" s="2"/>
      <c r="J228" s="2"/>
      <c r="K228" s="2"/>
      <c r="L228" s="2"/>
      <c r="M228" s="2"/>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row>
    <row r="229" spans="1:43" x14ac:dyDescent="0.3">
      <c r="A229" s="1"/>
      <c r="B229" s="1"/>
      <c r="C229" s="2"/>
      <c r="D229" s="2"/>
      <c r="E229" s="2"/>
      <c r="F229" s="2"/>
      <c r="G229" s="2"/>
      <c r="H229" s="2"/>
      <c r="I229" s="2"/>
      <c r="J229" s="2"/>
      <c r="K229" s="2"/>
      <c r="L229" s="2"/>
      <c r="M229" s="2"/>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row>
    <row r="230" spans="1:43" x14ac:dyDescent="0.3">
      <c r="A230" s="1"/>
      <c r="B230" s="1"/>
      <c r="C230" s="2"/>
      <c r="D230" s="2"/>
      <c r="E230" s="2"/>
      <c r="F230" s="2"/>
      <c r="G230" s="2"/>
      <c r="H230" s="2"/>
      <c r="I230" s="2"/>
      <c r="J230" s="2"/>
      <c r="K230" s="2"/>
      <c r="L230" s="2"/>
      <c r="M230" s="2"/>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row>
    <row r="231" spans="1:43" x14ac:dyDescent="0.3">
      <c r="A231" s="1"/>
      <c r="B231" s="1"/>
      <c r="C231" s="2"/>
      <c r="D231" s="2"/>
      <c r="E231" s="2"/>
      <c r="F231" s="2"/>
      <c r="G231" s="2"/>
      <c r="H231" s="2"/>
      <c r="I231" s="2"/>
      <c r="J231" s="2"/>
      <c r="K231" s="2"/>
      <c r="L231" s="2"/>
      <c r="M231" s="2"/>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row>
    <row r="232" spans="1:43" x14ac:dyDescent="0.3">
      <c r="A232" s="1"/>
      <c r="B232" s="1"/>
      <c r="C232" s="2"/>
      <c r="D232" s="2"/>
      <c r="E232" s="2"/>
      <c r="F232" s="2"/>
      <c r="G232" s="2"/>
      <c r="H232" s="2"/>
      <c r="I232" s="2"/>
      <c r="J232" s="2"/>
      <c r="K232" s="2"/>
      <c r="L232" s="2"/>
      <c r="M232" s="2"/>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row>
    <row r="233" spans="1:43" x14ac:dyDescent="0.3">
      <c r="A233" s="1"/>
      <c r="B233" s="1"/>
      <c r="C233" s="2"/>
      <c r="D233" s="2"/>
      <c r="E233" s="2"/>
      <c r="F233" s="2"/>
      <c r="G233" s="2"/>
      <c r="H233" s="2"/>
      <c r="I233" s="2"/>
      <c r="J233" s="2"/>
      <c r="K233" s="2"/>
      <c r="L233" s="2"/>
      <c r="M233" s="2"/>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row>
    <row r="234" spans="1:43" x14ac:dyDescent="0.3">
      <c r="A234" s="1"/>
      <c r="B234" s="1"/>
      <c r="C234" s="2"/>
      <c r="D234" s="2"/>
      <c r="E234" s="2"/>
      <c r="F234" s="2"/>
      <c r="G234" s="2"/>
      <c r="H234" s="2"/>
      <c r="I234" s="2"/>
      <c r="J234" s="2"/>
      <c r="K234" s="2"/>
      <c r="L234" s="2"/>
      <c r="M234" s="2"/>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row>
    <row r="235" spans="1:43" x14ac:dyDescent="0.3">
      <c r="A235" s="1"/>
      <c r="B235" s="1"/>
      <c r="C235" s="2"/>
      <c r="D235" s="2"/>
      <c r="E235" s="2"/>
      <c r="F235" s="2"/>
      <c r="G235" s="2"/>
      <c r="H235" s="2"/>
      <c r="I235" s="2"/>
      <c r="J235" s="2"/>
      <c r="K235" s="2"/>
      <c r="L235" s="2"/>
      <c r="M235" s="2"/>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row>
    <row r="236" spans="1:43" x14ac:dyDescent="0.3">
      <c r="A236" s="1"/>
      <c r="B236" s="1"/>
      <c r="C236" s="2"/>
      <c r="D236" s="2"/>
      <c r="E236" s="2"/>
      <c r="F236" s="2"/>
      <c r="G236" s="2"/>
      <c r="H236" s="2"/>
      <c r="I236" s="2"/>
      <c r="J236" s="2"/>
      <c r="K236" s="2"/>
      <c r="L236" s="2"/>
      <c r="M236" s="2"/>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row>
    <row r="237" spans="1:43" x14ac:dyDescent="0.3">
      <c r="A237" s="1"/>
      <c r="B237" s="1"/>
      <c r="C237" s="2"/>
      <c r="D237" s="2"/>
      <c r="E237" s="2"/>
      <c r="F237" s="2"/>
      <c r="G237" s="2"/>
      <c r="H237" s="2"/>
      <c r="I237" s="2"/>
      <c r="J237" s="2"/>
      <c r="K237" s="2"/>
      <c r="L237" s="2"/>
      <c r="M237" s="2"/>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row>
    <row r="238" spans="1:43" x14ac:dyDescent="0.3">
      <c r="A238" s="1"/>
      <c r="B238" s="1"/>
      <c r="C238" s="2"/>
      <c r="D238" s="2"/>
      <c r="E238" s="2"/>
      <c r="F238" s="2"/>
      <c r="G238" s="2"/>
      <c r="H238" s="2"/>
      <c r="I238" s="2"/>
      <c r="J238" s="2"/>
      <c r="K238" s="2"/>
      <c r="L238" s="2"/>
      <c r="M238" s="2"/>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row>
    <row r="239" spans="1:43" x14ac:dyDescent="0.3">
      <c r="A239" s="1"/>
      <c r="B239" s="1"/>
      <c r="C239" s="2"/>
      <c r="D239" s="2"/>
      <c r="E239" s="2"/>
      <c r="F239" s="2"/>
      <c r="G239" s="2"/>
      <c r="H239" s="2"/>
      <c r="I239" s="2"/>
      <c r="J239" s="2"/>
      <c r="K239" s="2"/>
      <c r="L239" s="2"/>
      <c r="M239" s="2"/>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row>
    <row r="240" spans="1:43" x14ac:dyDescent="0.3">
      <c r="A240" s="1"/>
      <c r="B240" s="1"/>
      <c r="C240" s="2"/>
      <c r="D240" s="2"/>
      <c r="E240" s="2"/>
      <c r="F240" s="2"/>
      <c r="G240" s="2"/>
      <c r="H240" s="2"/>
      <c r="I240" s="2"/>
      <c r="J240" s="2"/>
      <c r="K240" s="2"/>
      <c r="L240" s="2"/>
      <c r="M240" s="2"/>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row>
    <row r="241" spans="1:43" x14ac:dyDescent="0.3">
      <c r="A241" s="1"/>
      <c r="B241" s="1"/>
      <c r="C241" s="2"/>
      <c r="D241" s="2"/>
      <c r="E241" s="2"/>
      <c r="F241" s="2"/>
      <c r="G241" s="2"/>
      <c r="H241" s="2"/>
      <c r="I241" s="2"/>
      <c r="J241" s="2"/>
      <c r="K241" s="2"/>
      <c r="L241" s="2"/>
      <c r="M241" s="2"/>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row>
    <row r="242" spans="1:43" x14ac:dyDescent="0.3">
      <c r="A242" s="1"/>
      <c r="B242" s="1"/>
      <c r="C242" s="2"/>
      <c r="D242" s="2"/>
      <c r="E242" s="2"/>
      <c r="F242" s="2"/>
      <c r="G242" s="2"/>
      <c r="H242" s="2"/>
      <c r="I242" s="2"/>
      <c r="J242" s="2"/>
      <c r="K242" s="2"/>
      <c r="L242" s="2"/>
      <c r="M242" s="2"/>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row>
    <row r="243" spans="1:43" x14ac:dyDescent="0.3">
      <c r="A243" s="1"/>
      <c r="B243" s="1"/>
      <c r="C243" s="2"/>
      <c r="D243" s="2"/>
      <c r="E243" s="2"/>
      <c r="F243" s="2"/>
      <c r="G243" s="2"/>
      <c r="H243" s="2"/>
      <c r="I243" s="2"/>
      <c r="J243" s="2"/>
      <c r="K243" s="2"/>
      <c r="L243" s="2"/>
      <c r="M243" s="2"/>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row>
    <row r="244" spans="1:43" x14ac:dyDescent="0.3">
      <c r="A244" s="1"/>
      <c r="B244" s="1"/>
      <c r="C244" s="2"/>
      <c r="D244" s="2"/>
      <c r="E244" s="2"/>
      <c r="F244" s="2"/>
      <c r="G244" s="2"/>
      <c r="H244" s="2"/>
      <c r="I244" s="2"/>
      <c r="J244" s="2"/>
      <c r="K244" s="2"/>
      <c r="L244" s="2"/>
      <c r="M244" s="2"/>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row>
    <row r="245" spans="1:43" x14ac:dyDescent="0.3">
      <c r="A245" s="1"/>
      <c r="B245" s="1"/>
      <c r="C245" s="2"/>
      <c r="D245" s="2"/>
      <c r="E245" s="2"/>
      <c r="F245" s="2"/>
      <c r="G245" s="2"/>
      <c r="H245" s="2"/>
      <c r="I245" s="2"/>
      <c r="J245" s="2"/>
      <c r="K245" s="2"/>
      <c r="L245" s="2"/>
      <c r="M245" s="2"/>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row>
    <row r="246" spans="1:43" x14ac:dyDescent="0.3">
      <c r="A246" s="1"/>
      <c r="B246" s="1"/>
      <c r="C246" s="2"/>
      <c r="D246" s="2"/>
      <c r="E246" s="2"/>
      <c r="F246" s="2"/>
      <c r="G246" s="2"/>
      <c r="H246" s="2"/>
      <c r="I246" s="2"/>
      <c r="J246" s="2"/>
      <c r="K246" s="2"/>
      <c r="L246" s="2"/>
      <c r="M246" s="2"/>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row>
    <row r="247" spans="1:43" x14ac:dyDescent="0.3">
      <c r="A247" s="1"/>
      <c r="B247" s="1"/>
      <c r="C247" s="2"/>
      <c r="D247" s="2"/>
      <c r="E247" s="2"/>
      <c r="F247" s="2"/>
      <c r="G247" s="2"/>
      <c r="H247" s="2"/>
      <c r="I247" s="2"/>
      <c r="J247" s="2"/>
      <c r="K247" s="2"/>
      <c r="L247" s="2"/>
      <c r="M247" s="2"/>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row>
    <row r="248" spans="1:43" x14ac:dyDescent="0.3">
      <c r="A248" s="1"/>
      <c r="B248" s="1"/>
      <c r="C248" s="2"/>
      <c r="D248" s="2"/>
      <c r="E248" s="2"/>
      <c r="F248" s="2"/>
      <c r="G248" s="2"/>
      <c r="H248" s="2"/>
      <c r="I248" s="2"/>
      <c r="J248" s="2"/>
      <c r="K248" s="2"/>
      <c r="L248" s="2"/>
      <c r="M248" s="2"/>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row>
    <row r="249" spans="1:43" x14ac:dyDescent="0.3">
      <c r="A249" s="1"/>
      <c r="B249" s="1"/>
      <c r="C249" s="2"/>
      <c r="D249" s="2"/>
      <c r="E249" s="2"/>
      <c r="F249" s="2"/>
      <c r="G249" s="2"/>
      <c r="H249" s="2"/>
      <c r="I249" s="2"/>
      <c r="J249" s="2"/>
      <c r="K249" s="2"/>
      <c r="L249" s="2"/>
      <c r="M249" s="2"/>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row>
    <row r="250" spans="1:43" x14ac:dyDescent="0.3">
      <c r="A250" s="1"/>
      <c r="B250" s="1"/>
      <c r="C250" s="2"/>
      <c r="D250" s="2"/>
      <c r="E250" s="2"/>
      <c r="F250" s="2"/>
      <c r="G250" s="2"/>
      <c r="H250" s="2"/>
      <c r="I250" s="2"/>
      <c r="J250" s="2"/>
      <c r="K250" s="2"/>
      <c r="L250" s="2"/>
      <c r="M250" s="2"/>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row>
    <row r="251" spans="1:43" x14ac:dyDescent="0.3">
      <c r="A251" s="1"/>
      <c r="B251" s="1"/>
      <c r="C251" s="2"/>
      <c r="D251" s="2"/>
      <c r="E251" s="2"/>
      <c r="F251" s="2"/>
      <c r="G251" s="2"/>
      <c r="H251" s="2"/>
      <c r="I251" s="2"/>
      <c r="J251" s="2"/>
      <c r="K251" s="2"/>
      <c r="L251" s="2"/>
      <c r="M251" s="2"/>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row>
    <row r="252" spans="1:43" x14ac:dyDescent="0.3">
      <c r="A252" s="1"/>
      <c r="B252" s="1"/>
      <c r="C252" s="2"/>
      <c r="D252" s="2"/>
      <c r="E252" s="2"/>
      <c r="F252" s="2"/>
      <c r="G252" s="2"/>
      <c r="H252" s="2"/>
      <c r="I252" s="2"/>
      <c r="J252" s="2"/>
      <c r="K252" s="2"/>
      <c r="L252" s="2"/>
      <c r="M252" s="2"/>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row>
    <row r="253" spans="1:43" x14ac:dyDescent="0.3">
      <c r="A253" s="1"/>
      <c r="B253" s="1"/>
      <c r="C253" s="2"/>
      <c r="D253" s="2"/>
      <c r="E253" s="2"/>
      <c r="F253" s="2"/>
      <c r="G253" s="2"/>
      <c r="H253" s="2"/>
      <c r="I253" s="2"/>
      <c r="J253" s="2"/>
      <c r="K253" s="2"/>
      <c r="L253" s="2"/>
      <c r="M253" s="2"/>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row>
    <row r="254" spans="1:43" x14ac:dyDescent="0.3">
      <c r="A254" s="1"/>
      <c r="B254" s="1"/>
      <c r="C254" s="2"/>
      <c r="D254" s="2"/>
      <c r="E254" s="2"/>
      <c r="F254" s="2"/>
      <c r="G254" s="2"/>
      <c r="H254" s="2"/>
      <c r="I254" s="2"/>
      <c r="J254" s="2"/>
      <c r="K254" s="2"/>
      <c r="L254" s="2"/>
      <c r="M254" s="2"/>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row>
    <row r="255" spans="1:43" x14ac:dyDescent="0.3">
      <c r="A255" s="1"/>
      <c r="B255" s="1"/>
      <c r="C255" s="2"/>
      <c r="D255" s="2"/>
      <c r="E255" s="2"/>
      <c r="F255" s="2"/>
      <c r="G255" s="2"/>
      <c r="H255" s="2"/>
      <c r="I255" s="2"/>
      <c r="J255" s="2"/>
      <c r="K255" s="2"/>
      <c r="L255" s="2"/>
      <c r="M255" s="2"/>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row>
    <row r="256" spans="1:43" x14ac:dyDescent="0.3">
      <c r="A256" s="1"/>
      <c r="B256" s="1"/>
      <c r="C256" s="2"/>
      <c r="D256" s="2"/>
      <c r="E256" s="2"/>
      <c r="F256" s="2"/>
      <c r="G256" s="2"/>
      <c r="H256" s="2"/>
      <c r="I256" s="2"/>
      <c r="J256" s="2"/>
      <c r="K256" s="2"/>
      <c r="L256" s="2"/>
      <c r="M256" s="2"/>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row>
    <row r="257" spans="1:43" x14ac:dyDescent="0.3">
      <c r="A257" s="1"/>
      <c r="B257" s="1"/>
      <c r="C257" s="2"/>
      <c r="D257" s="2"/>
      <c r="E257" s="2"/>
      <c r="F257" s="2"/>
      <c r="G257" s="2"/>
      <c r="H257" s="2"/>
      <c r="I257" s="2"/>
      <c r="J257" s="2"/>
      <c r="K257" s="2"/>
      <c r="L257" s="2"/>
      <c r="M257" s="2"/>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row>
    <row r="258" spans="1:43" x14ac:dyDescent="0.3">
      <c r="A258" s="1"/>
      <c r="B258" s="1"/>
      <c r="C258" s="2"/>
      <c r="D258" s="2"/>
      <c r="E258" s="2"/>
      <c r="F258" s="2"/>
      <c r="G258" s="2"/>
      <c r="H258" s="2"/>
      <c r="I258" s="2"/>
      <c r="J258" s="2"/>
      <c r="K258" s="2"/>
      <c r="L258" s="2"/>
      <c r="M258" s="2"/>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row>
    <row r="259" spans="1:43" x14ac:dyDescent="0.3">
      <c r="A259" s="1"/>
      <c r="B259" s="1"/>
      <c r="C259" s="2"/>
      <c r="D259" s="2"/>
      <c r="E259" s="2"/>
      <c r="F259" s="2"/>
      <c r="G259" s="2"/>
      <c r="H259" s="2"/>
      <c r="I259" s="2"/>
      <c r="J259" s="2"/>
      <c r="K259" s="2"/>
      <c r="L259" s="2"/>
      <c r="M259" s="2"/>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row>
    <row r="260" spans="1:43" x14ac:dyDescent="0.3">
      <c r="A260" s="1"/>
      <c r="B260" s="1"/>
      <c r="C260" s="2"/>
      <c r="D260" s="2"/>
      <c r="E260" s="2"/>
      <c r="F260" s="2"/>
      <c r="G260" s="2"/>
      <c r="H260" s="2"/>
      <c r="I260" s="2"/>
      <c r="J260" s="2"/>
      <c r="K260" s="2"/>
      <c r="L260" s="2"/>
      <c r="M260" s="2"/>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row>
    <row r="261" spans="1:43" x14ac:dyDescent="0.3">
      <c r="A261" s="1"/>
      <c r="B261" s="1"/>
      <c r="C261" s="2"/>
      <c r="D261" s="2"/>
      <c r="E261" s="2"/>
      <c r="F261" s="2"/>
      <c r="G261" s="2"/>
      <c r="H261" s="2"/>
      <c r="I261" s="2"/>
      <c r="J261" s="2"/>
      <c r="K261" s="2"/>
      <c r="L261" s="2"/>
      <c r="M261" s="2"/>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row>
    <row r="262" spans="1:43" x14ac:dyDescent="0.3">
      <c r="A262" s="1"/>
      <c r="B262" s="1"/>
      <c r="C262" s="2"/>
      <c r="D262" s="2"/>
      <c r="E262" s="2"/>
      <c r="F262" s="2"/>
      <c r="G262" s="2"/>
      <c r="H262" s="2"/>
      <c r="I262" s="2"/>
      <c r="J262" s="2"/>
      <c r="K262" s="2"/>
      <c r="L262" s="2"/>
      <c r="M262" s="2"/>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row>
    <row r="263" spans="1:43" x14ac:dyDescent="0.3">
      <c r="A263" s="1"/>
      <c r="B263" s="1"/>
      <c r="C263" s="2"/>
      <c r="D263" s="2"/>
      <c r="E263" s="2"/>
      <c r="F263" s="2"/>
      <c r="G263" s="2"/>
      <c r="H263" s="2"/>
      <c r="I263" s="2"/>
      <c r="J263" s="2"/>
      <c r="K263" s="2"/>
      <c r="L263" s="2"/>
      <c r="M263" s="2"/>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row>
    <row r="264" spans="1:43" x14ac:dyDescent="0.3">
      <c r="A264" s="1"/>
      <c r="B264" s="1"/>
      <c r="C264" s="2"/>
      <c r="D264" s="2"/>
      <c r="E264" s="2"/>
      <c r="F264" s="2"/>
      <c r="G264" s="2"/>
      <c r="H264" s="2"/>
      <c r="I264" s="2"/>
      <c r="J264" s="2"/>
      <c r="K264" s="2"/>
      <c r="L264" s="2"/>
      <c r="M264" s="2"/>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row>
    <row r="265" spans="1:43" x14ac:dyDescent="0.3">
      <c r="A265" s="1"/>
      <c r="B265" s="1"/>
      <c r="C265" s="2"/>
      <c r="D265" s="2"/>
      <c r="E265" s="2"/>
      <c r="F265" s="2"/>
      <c r="G265" s="2"/>
      <c r="H265" s="2"/>
      <c r="I265" s="2"/>
      <c r="J265" s="2"/>
      <c r="K265" s="2"/>
      <c r="L265" s="2"/>
      <c r="M265" s="2"/>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row>
    <row r="266" spans="1:43" x14ac:dyDescent="0.3">
      <c r="A266" s="1"/>
      <c r="B266" s="1"/>
      <c r="C266" s="2"/>
      <c r="D266" s="2"/>
      <c r="E266" s="2"/>
      <c r="F266" s="2"/>
      <c r="G266" s="2"/>
      <c r="H266" s="2"/>
      <c r="I266" s="2"/>
      <c r="J266" s="2"/>
      <c r="K266" s="2"/>
      <c r="L266" s="2"/>
      <c r="M266" s="2"/>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row>
    <row r="267" spans="1:43" x14ac:dyDescent="0.3">
      <c r="A267" s="1"/>
      <c r="B267" s="1"/>
      <c r="C267" s="2"/>
      <c r="D267" s="2"/>
      <c r="E267" s="2"/>
      <c r="F267" s="2"/>
      <c r="G267" s="2"/>
      <c r="H267" s="2"/>
      <c r="I267" s="2"/>
      <c r="J267" s="2"/>
      <c r="K267" s="2"/>
      <c r="L267" s="2"/>
      <c r="M267" s="2"/>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row>
    <row r="268" spans="1:43" x14ac:dyDescent="0.3">
      <c r="A268" s="1"/>
      <c r="B268" s="1"/>
      <c r="C268" s="2"/>
      <c r="D268" s="2"/>
      <c r="E268" s="2"/>
      <c r="F268" s="2"/>
      <c r="G268" s="2"/>
      <c r="H268" s="2"/>
      <c r="I268" s="2"/>
      <c r="J268" s="2"/>
      <c r="K268" s="2"/>
      <c r="L268" s="2"/>
      <c r="M268" s="2"/>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row>
    <row r="269" spans="1:43" x14ac:dyDescent="0.3">
      <c r="A269" s="1"/>
      <c r="B269" s="1"/>
      <c r="C269" s="2"/>
      <c r="D269" s="2"/>
      <c r="E269" s="2"/>
      <c r="F269" s="2"/>
      <c r="G269" s="2"/>
      <c r="H269" s="2"/>
      <c r="I269" s="2"/>
      <c r="J269" s="2"/>
      <c r="K269" s="2"/>
      <c r="L269" s="2"/>
      <c r="M269" s="2"/>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row>
    <row r="270" spans="1:43" x14ac:dyDescent="0.3">
      <c r="A270" s="1"/>
      <c r="B270" s="1"/>
      <c r="C270" s="2"/>
      <c r="D270" s="2"/>
      <c r="E270" s="2"/>
      <c r="F270" s="2"/>
      <c r="G270" s="2"/>
      <c r="H270" s="2"/>
      <c r="I270" s="2"/>
      <c r="J270" s="2"/>
      <c r="K270" s="2"/>
      <c r="L270" s="2"/>
      <c r="M270" s="2"/>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row>
    <row r="271" spans="1:43" x14ac:dyDescent="0.3">
      <c r="A271" s="1"/>
      <c r="B271" s="1"/>
      <c r="C271" s="2"/>
      <c r="D271" s="2"/>
      <c r="E271" s="2"/>
      <c r="F271" s="2"/>
      <c r="G271" s="2"/>
      <c r="H271" s="2"/>
      <c r="I271" s="2"/>
      <c r="J271" s="2"/>
      <c r="K271" s="2"/>
      <c r="L271" s="2"/>
      <c r="M271" s="2"/>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row>
    <row r="272" spans="1:43" x14ac:dyDescent="0.3">
      <c r="A272" s="1"/>
      <c r="B272" s="1"/>
      <c r="C272" s="2"/>
      <c r="D272" s="2"/>
      <c r="E272" s="2"/>
      <c r="F272" s="2"/>
      <c r="G272" s="2"/>
      <c r="H272" s="2"/>
      <c r="I272" s="2"/>
      <c r="J272" s="2"/>
      <c r="K272" s="2"/>
      <c r="L272" s="2"/>
      <c r="M272" s="2"/>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row>
    <row r="273" spans="1:43" x14ac:dyDescent="0.3">
      <c r="A273" s="1"/>
      <c r="B273" s="1"/>
      <c r="C273" s="2"/>
      <c r="D273" s="2"/>
      <c r="E273" s="2"/>
      <c r="F273" s="2"/>
      <c r="G273" s="2"/>
      <c r="H273" s="2"/>
      <c r="I273" s="2"/>
      <c r="J273" s="2"/>
      <c r="K273" s="2"/>
      <c r="L273" s="2"/>
      <c r="M273" s="2"/>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row>
    <row r="274" spans="1:43" x14ac:dyDescent="0.3">
      <c r="A274" s="1"/>
      <c r="B274" s="1"/>
      <c r="C274" s="2"/>
      <c r="D274" s="2"/>
      <c r="E274" s="2"/>
      <c r="F274" s="2"/>
      <c r="G274" s="2"/>
      <c r="H274" s="2"/>
      <c r="I274" s="2"/>
      <c r="J274" s="2"/>
      <c r="K274" s="2"/>
      <c r="L274" s="2"/>
      <c r="M274" s="2"/>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row>
    <row r="275" spans="1:43" x14ac:dyDescent="0.3">
      <c r="A275" s="1"/>
      <c r="B275" s="1"/>
      <c r="C275" s="2"/>
      <c r="D275" s="2"/>
      <c r="E275" s="2"/>
      <c r="F275" s="2"/>
      <c r="G275" s="2"/>
      <c r="H275" s="2"/>
      <c r="I275" s="2"/>
      <c r="J275" s="2"/>
      <c r="K275" s="2"/>
      <c r="L275" s="2"/>
      <c r="M275" s="2"/>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row>
    <row r="276" spans="1:43" x14ac:dyDescent="0.3">
      <c r="A276" s="1"/>
      <c r="B276" s="1"/>
      <c r="C276" s="2"/>
      <c r="D276" s="2"/>
      <c r="E276" s="2"/>
      <c r="F276" s="2"/>
      <c r="G276" s="2"/>
      <c r="H276" s="2"/>
      <c r="I276" s="2"/>
      <c r="J276" s="2"/>
      <c r="K276" s="2"/>
      <c r="L276" s="2"/>
      <c r="M276" s="2"/>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row>
    <row r="277" spans="1:43" x14ac:dyDescent="0.3">
      <c r="A277" s="1"/>
      <c r="B277" s="1"/>
      <c r="C277" s="2"/>
      <c r="D277" s="2"/>
      <c r="E277" s="2"/>
      <c r="F277" s="2"/>
      <c r="G277" s="2"/>
      <c r="H277" s="2"/>
      <c r="I277" s="2"/>
      <c r="J277" s="2"/>
      <c r="K277" s="2"/>
      <c r="L277" s="2"/>
      <c r="M277" s="2"/>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row>
    <row r="278" spans="1:43" x14ac:dyDescent="0.3">
      <c r="A278" s="1"/>
      <c r="B278" s="1"/>
      <c r="C278" s="2"/>
      <c r="D278" s="2"/>
      <c r="E278" s="2"/>
      <c r="F278" s="2"/>
      <c r="G278" s="2"/>
      <c r="H278" s="2"/>
      <c r="I278" s="2"/>
      <c r="J278" s="2"/>
      <c r="K278" s="2"/>
      <c r="L278" s="2"/>
      <c r="M278" s="2"/>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row>
    <row r="279" spans="1:43" x14ac:dyDescent="0.3">
      <c r="A279" s="1"/>
      <c r="B279" s="1"/>
      <c r="C279" s="2"/>
      <c r="D279" s="2"/>
      <c r="E279" s="2"/>
      <c r="F279" s="2"/>
      <c r="G279" s="2"/>
      <c r="H279" s="2"/>
      <c r="I279" s="2"/>
      <c r="J279" s="2"/>
      <c r="K279" s="2"/>
      <c r="L279" s="2"/>
      <c r="M279" s="2"/>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row>
    <row r="280" spans="1:43" x14ac:dyDescent="0.3">
      <c r="A280" s="1"/>
      <c r="B280" s="1"/>
      <c r="C280" s="2"/>
      <c r="D280" s="2"/>
      <c r="E280" s="2"/>
      <c r="F280" s="2"/>
      <c r="G280" s="2"/>
      <c r="H280" s="2"/>
      <c r="I280" s="2"/>
      <c r="J280" s="2"/>
      <c r="K280" s="2"/>
      <c r="L280" s="2"/>
      <c r="M280" s="2"/>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row>
    <row r="281" spans="1:43" x14ac:dyDescent="0.3">
      <c r="A281" s="1"/>
      <c r="B281" s="1"/>
      <c r="C281" s="2"/>
      <c r="D281" s="2"/>
      <c r="E281" s="2"/>
      <c r="F281" s="2"/>
      <c r="G281" s="2"/>
      <c r="H281" s="2"/>
      <c r="I281" s="2"/>
      <c r="J281" s="2"/>
      <c r="K281" s="2"/>
      <c r="L281" s="2"/>
      <c r="M281" s="2"/>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row>
    <row r="282" spans="1:43" x14ac:dyDescent="0.3">
      <c r="A282" s="1"/>
      <c r="B282" s="1"/>
      <c r="C282" s="2"/>
      <c r="D282" s="2"/>
      <c r="E282" s="2"/>
      <c r="F282" s="2"/>
      <c r="G282" s="2"/>
      <c r="H282" s="2"/>
      <c r="I282" s="2"/>
      <c r="J282" s="2"/>
      <c r="K282" s="2"/>
      <c r="L282" s="2"/>
      <c r="M282" s="2"/>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row>
    <row r="283" spans="1:43" x14ac:dyDescent="0.3">
      <c r="A283" s="1"/>
      <c r="B283" s="1"/>
      <c r="C283" s="2"/>
      <c r="D283" s="2"/>
      <c r="E283" s="2"/>
      <c r="F283" s="2"/>
      <c r="G283" s="2"/>
      <c r="H283" s="2"/>
      <c r="I283" s="2"/>
      <c r="J283" s="2"/>
      <c r="K283" s="2"/>
      <c r="L283" s="2"/>
      <c r="M283" s="2"/>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row>
    <row r="284" spans="1:43" x14ac:dyDescent="0.3">
      <c r="A284" s="1"/>
      <c r="B284" s="1"/>
      <c r="C284" s="2"/>
      <c r="D284" s="2"/>
      <c r="E284" s="2"/>
      <c r="F284" s="2"/>
      <c r="G284" s="2"/>
      <c r="H284" s="2"/>
      <c r="I284" s="2"/>
      <c r="J284" s="2"/>
      <c r="K284" s="2"/>
      <c r="L284" s="2"/>
      <c r="M284" s="2"/>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row>
    <row r="285" spans="1:43" x14ac:dyDescent="0.3">
      <c r="A285" s="1"/>
      <c r="B285" s="1"/>
      <c r="C285" s="2"/>
      <c r="D285" s="2"/>
      <c r="E285" s="2"/>
      <c r="F285" s="2"/>
      <c r="G285" s="2"/>
      <c r="H285" s="2"/>
      <c r="I285" s="2"/>
      <c r="J285" s="2"/>
      <c r="K285" s="2"/>
      <c r="L285" s="2"/>
      <c r="M285" s="2"/>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row>
    <row r="286" spans="1:43" x14ac:dyDescent="0.3">
      <c r="A286" s="1"/>
      <c r="B286" s="1"/>
      <c r="C286" s="2"/>
      <c r="D286" s="2"/>
      <c r="E286" s="2"/>
      <c r="F286" s="2"/>
      <c r="G286" s="2"/>
      <c r="H286" s="2"/>
      <c r="I286" s="2"/>
      <c r="J286" s="2"/>
      <c r="K286" s="2"/>
      <c r="L286" s="2"/>
      <c r="M286" s="2"/>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row>
    <row r="287" spans="1:43" x14ac:dyDescent="0.3">
      <c r="A287" s="1"/>
      <c r="B287" s="1"/>
      <c r="C287" s="2"/>
      <c r="D287" s="2"/>
      <c r="E287" s="2"/>
      <c r="F287" s="2"/>
      <c r="G287" s="2"/>
      <c r="H287" s="2"/>
      <c r="I287" s="2"/>
      <c r="J287" s="2"/>
      <c r="K287" s="2"/>
      <c r="L287" s="2"/>
      <c r="M287" s="2"/>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row>
    <row r="288" spans="1:43" x14ac:dyDescent="0.3">
      <c r="A288" s="1"/>
      <c r="B288" s="1"/>
      <c r="C288" s="2"/>
      <c r="D288" s="2"/>
      <c r="E288" s="2"/>
      <c r="F288" s="2"/>
      <c r="G288" s="2"/>
      <c r="H288" s="2"/>
      <c r="I288" s="2"/>
      <c r="J288" s="2"/>
      <c r="K288" s="2"/>
      <c r="L288" s="2"/>
      <c r="M288" s="2"/>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row>
    <row r="289" spans="1:43" x14ac:dyDescent="0.3">
      <c r="A289" s="1"/>
      <c r="B289" s="1"/>
      <c r="C289" s="2"/>
      <c r="D289" s="2"/>
      <c r="E289" s="2"/>
      <c r="F289" s="2"/>
      <c r="G289" s="2"/>
      <c r="H289" s="2"/>
      <c r="I289" s="2"/>
      <c r="J289" s="2"/>
      <c r="K289" s="2"/>
      <c r="L289" s="2"/>
      <c r="M289" s="2"/>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row>
    <row r="290" spans="1:43" x14ac:dyDescent="0.3">
      <c r="A290" s="1"/>
      <c r="B290" s="1"/>
      <c r="C290" s="2"/>
      <c r="D290" s="2"/>
      <c r="E290" s="2"/>
      <c r="F290" s="2"/>
      <c r="G290" s="2"/>
      <c r="H290" s="2"/>
      <c r="I290" s="2"/>
      <c r="J290" s="2"/>
      <c r="K290" s="2"/>
      <c r="L290" s="2"/>
      <c r="M290" s="2"/>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row>
    <row r="291" spans="1:43" x14ac:dyDescent="0.3">
      <c r="A291" s="1"/>
      <c r="B291" s="1"/>
      <c r="C291" s="2"/>
      <c r="D291" s="2"/>
      <c r="E291" s="2"/>
      <c r="F291" s="2"/>
      <c r="G291" s="2"/>
      <c r="H291" s="2"/>
      <c r="I291" s="2"/>
      <c r="J291" s="2"/>
      <c r="K291" s="2"/>
      <c r="L291" s="2"/>
      <c r="M291" s="2"/>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row>
    <row r="292" spans="1:43" x14ac:dyDescent="0.3">
      <c r="A292" s="1"/>
      <c r="B292" s="1"/>
      <c r="C292" s="2"/>
      <c r="D292" s="2"/>
      <c r="E292" s="2"/>
      <c r="F292" s="2"/>
      <c r="G292" s="2"/>
      <c r="H292" s="2"/>
      <c r="I292" s="2"/>
      <c r="J292" s="2"/>
      <c r="K292" s="2"/>
      <c r="L292" s="2"/>
      <c r="M292" s="2"/>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row>
    <row r="293" spans="1:43" x14ac:dyDescent="0.3">
      <c r="A293" s="1"/>
      <c r="B293" s="1"/>
      <c r="C293" s="2"/>
      <c r="D293" s="2"/>
      <c r="E293" s="2"/>
      <c r="F293" s="2"/>
      <c r="G293" s="2"/>
      <c r="H293" s="2"/>
      <c r="I293" s="2"/>
      <c r="J293" s="2"/>
      <c r="K293" s="2"/>
      <c r="L293" s="2"/>
      <c r="M293" s="2"/>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row>
    <row r="294" spans="1:43" x14ac:dyDescent="0.3">
      <c r="A294" s="1"/>
      <c r="B294" s="1"/>
      <c r="C294" s="2"/>
      <c r="D294" s="2"/>
      <c r="E294" s="2"/>
      <c r="F294" s="2"/>
      <c r="G294" s="2"/>
      <c r="H294" s="2"/>
      <c r="I294" s="2"/>
      <c r="J294" s="2"/>
      <c r="K294" s="2"/>
      <c r="L294" s="2"/>
      <c r="M294" s="2"/>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row>
    <row r="295" spans="1:43" x14ac:dyDescent="0.3">
      <c r="A295" s="1"/>
      <c r="B295" s="1"/>
      <c r="C295" s="2"/>
      <c r="D295" s="2"/>
      <c r="E295" s="2"/>
      <c r="F295" s="2"/>
      <c r="G295" s="2"/>
      <c r="H295" s="2"/>
      <c r="I295" s="2"/>
      <c r="J295" s="2"/>
      <c r="K295" s="2"/>
      <c r="L295" s="2"/>
      <c r="M295" s="2"/>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row>
    <row r="296" spans="1:43" x14ac:dyDescent="0.3">
      <c r="A296" s="1"/>
      <c r="B296" s="1"/>
      <c r="C296" s="2"/>
      <c r="D296" s="2"/>
      <c r="E296" s="2"/>
      <c r="F296" s="2"/>
      <c r="G296" s="2"/>
      <c r="H296" s="2"/>
      <c r="I296" s="2"/>
      <c r="J296" s="2"/>
      <c r="K296" s="2"/>
      <c r="L296" s="2"/>
      <c r="M296" s="2"/>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row>
    <row r="297" spans="1:43" x14ac:dyDescent="0.3">
      <c r="A297" s="1"/>
      <c r="B297" s="1"/>
      <c r="C297" s="2"/>
      <c r="D297" s="2"/>
      <c r="E297" s="2"/>
      <c r="F297" s="2"/>
      <c r="G297" s="2"/>
      <c r="H297" s="2"/>
      <c r="I297" s="2"/>
      <c r="J297" s="2"/>
      <c r="K297" s="2"/>
      <c r="L297" s="2"/>
      <c r="M297" s="2"/>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row>
    <row r="298" spans="1:43" x14ac:dyDescent="0.3">
      <c r="A298" s="1"/>
      <c r="B298" s="1"/>
      <c r="C298" s="2"/>
      <c r="D298" s="2"/>
      <c r="E298" s="2"/>
      <c r="F298" s="2"/>
      <c r="G298" s="2"/>
      <c r="H298" s="2"/>
      <c r="I298" s="2"/>
      <c r="J298" s="2"/>
      <c r="K298" s="2"/>
      <c r="L298" s="2"/>
      <c r="M298" s="2"/>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row>
    <row r="299" spans="1:43" x14ac:dyDescent="0.3">
      <c r="A299" s="1"/>
      <c r="B299" s="1"/>
      <c r="C299" s="2"/>
      <c r="D299" s="2"/>
      <c r="E299" s="2"/>
      <c r="F299" s="2"/>
      <c r="G299" s="2"/>
      <c r="H299" s="2"/>
      <c r="I299" s="2"/>
      <c r="J299" s="2"/>
      <c r="K299" s="2"/>
      <c r="L299" s="2"/>
      <c r="M299" s="2"/>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row>
    <row r="300" spans="1:43" x14ac:dyDescent="0.3">
      <c r="A300" s="1"/>
      <c r="B300" s="1"/>
      <c r="C300" s="2"/>
      <c r="D300" s="2"/>
      <c r="E300" s="2"/>
      <c r="F300" s="2"/>
      <c r="G300" s="2"/>
      <c r="H300" s="2"/>
      <c r="I300" s="2"/>
      <c r="J300" s="2"/>
      <c r="K300" s="2"/>
      <c r="L300" s="2"/>
      <c r="M300" s="2"/>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row>
    <row r="301" spans="1:43" x14ac:dyDescent="0.3">
      <c r="A301" s="1"/>
      <c r="B301" s="1"/>
      <c r="C301" s="2"/>
      <c r="D301" s="2"/>
      <c r="E301" s="2"/>
      <c r="F301" s="2"/>
      <c r="G301" s="2"/>
      <c r="H301" s="2"/>
      <c r="I301" s="2"/>
      <c r="J301" s="2"/>
      <c r="K301" s="2"/>
      <c r="L301" s="2"/>
      <c r="M301" s="2"/>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row>
    <row r="302" spans="1:43" x14ac:dyDescent="0.3">
      <c r="A302" s="1"/>
      <c r="B302" s="1"/>
      <c r="C302" s="2"/>
      <c r="D302" s="2"/>
      <c r="E302" s="2"/>
      <c r="F302" s="2"/>
      <c r="G302" s="2"/>
      <c r="H302" s="2"/>
      <c r="I302" s="2"/>
      <c r="J302" s="2"/>
      <c r="K302" s="2"/>
      <c r="L302" s="2"/>
      <c r="M302" s="2"/>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row>
    <row r="303" spans="1:43" x14ac:dyDescent="0.3">
      <c r="A303" s="1"/>
      <c r="B303" s="1"/>
      <c r="C303" s="2"/>
      <c r="D303" s="2"/>
      <c r="E303" s="2"/>
      <c r="F303" s="2"/>
      <c r="G303" s="2"/>
      <c r="H303" s="2"/>
      <c r="I303" s="2"/>
      <c r="J303" s="2"/>
      <c r="K303" s="2"/>
      <c r="L303" s="2"/>
      <c r="M303" s="2"/>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row>
    <row r="304" spans="1:43" x14ac:dyDescent="0.3">
      <c r="A304" s="1"/>
      <c r="B304" s="1"/>
      <c r="C304" s="2"/>
      <c r="D304" s="2"/>
      <c r="E304" s="2"/>
      <c r="F304" s="2"/>
      <c r="G304" s="2"/>
      <c r="H304" s="2"/>
      <c r="I304" s="2"/>
      <c r="J304" s="2"/>
      <c r="K304" s="2"/>
      <c r="L304" s="2"/>
      <c r="M304" s="2"/>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row>
    <row r="305" spans="1:43" x14ac:dyDescent="0.3">
      <c r="A305" s="1"/>
      <c r="B305" s="1"/>
      <c r="C305" s="2"/>
      <c r="D305" s="2"/>
      <c r="E305" s="2"/>
      <c r="F305" s="2"/>
      <c r="G305" s="2"/>
      <c r="H305" s="2"/>
      <c r="I305" s="2"/>
      <c r="J305" s="2"/>
      <c r="K305" s="2"/>
      <c r="L305" s="2"/>
      <c r="M305" s="2"/>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row>
    <row r="306" spans="1:43" x14ac:dyDescent="0.3">
      <c r="A306" s="1"/>
      <c r="B306" s="1"/>
      <c r="C306" s="2"/>
      <c r="D306" s="2"/>
      <c r="E306" s="2"/>
      <c r="F306" s="2"/>
      <c r="G306" s="2"/>
      <c r="H306" s="2"/>
      <c r="I306" s="2"/>
      <c r="J306" s="2"/>
      <c r="K306" s="2"/>
      <c r="L306" s="2"/>
      <c r="M306" s="2"/>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row>
    <row r="307" spans="1:43" x14ac:dyDescent="0.3">
      <c r="A307" s="1"/>
      <c r="B307" s="1"/>
      <c r="C307" s="2"/>
      <c r="D307" s="2"/>
      <c r="E307" s="2"/>
      <c r="F307" s="2"/>
      <c r="G307" s="2"/>
      <c r="H307" s="2"/>
      <c r="I307" s="2"/>
      <c r="J307" s="2"/>
      <c r="K307" s="2"/>
      <c r="L307" s="2"/>
      <c r="M307" s="2"/>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row>
    <row r="308" spans="1:43" x14ac:dyDescent="0.3">
      <c r="A308" s="1"/>
      <c r="B308" s="1"/>
      <c r="C308" s="2"/>
      <c r="D308" s="2"/>
      <c r="E308" s="2"/>
      <c r="F308" s="2"/>
      <c r="G308" s="2"/>
      <c r="H308" s="2"/>
      <c r="I308" s="2"/>
      <c r="J308" s="2"/>
      <c r="K308" s="2"/>
      <c r="L308" s="2"/>
      <c r="M308" s="2"/>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row>
    <row r="309" spans="1:43" x14ac:dyDescent="0.3">
      <c r="A309" s="1"/>
      <c r="B309" s="1"/>
      <c r="C309" s="2"/>
      <c r="D309" s="2"/>
      <c r="E309" s="2"/>
      <c r="F309" s="2"/>
      <c r="G309" s="2"/>
      <c r="H309" s="2"/>
      <c r="I309" s="2"/>
      <c r="J309" s="2"/>
      <c r="K309" s="2"/>
      <c r="L309" s="2"/>
      <c r="M309" s="2"/>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row>
    <row r="310" spans="1:43" x14ac:dyDescent="0.3">
      <c r="A310" s="1"/>
      <c r="B310" s="1"/>
      <c r="C310" s="2"/>
      <c r="D310" s="2"/>
      <c r="E310" s="2"/>
      <c r="F310" s="2"/>
      <c r="G310" s="2"/>
      <c r="H310" s="2"/>
      <c r="I310" s="2"/>
      <c r="J310" s="2"/>
      <c r="K310" s="2"/>
      <c r="L310" s="2"/>
      <c r="M310" s="2"/>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row>
    <row r="311" spans="1:43" x14ac:dyDescent="0.3">
      <c r="A311" s="1"/>
      <c r="B311" s="1"/>
      <c r="C311" s="2"/>
      <c r="D311" s="2"/>
      <c r="E311" s="2"/>
      <c r="F311" s="2"/>
      <c r="G311" s="2"/>
      <c r="H311" s="2"/>
      <c r="I311" s="2"/>
      <c r="J311" s="2"/>
      <c r="K311" s="2"/>
      <c r="L311" s="2"/>
      <c r="M311" s="2"/>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row>
    <row r="312" spans="1:43" x14ac:dyDescent="0.3">
      <c r="A312" s="1"/>
      <c r="B312" s="1"/>
      <c r="C312" s="2"/>
      <c r="D312" s="2"/>
      <c r="E312" s="2"/>
      <c r="F312" s="2"/>
      <c r="G312" s="2"/>
      <c r="H312" s="2"/>
      <c r="I312" s="2"/>
      <c r="J312" s="2"/>
      <c r="K312" s="2"/>
      <c r="L312" s="2"/>
      <c r="M312" s="2"/>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row>
    <row r="313" spans="1:43" x14ac:dyDescent="0.3">
      <c r="A313" s="1"/>
      <c r="B313" s="1"/>
      <c r="C313" s="2"/>
      <c r="D313" s="2"/>
      <c r="E313" s="2"/>
      <c r="F313" s="2"/>
      <c r="G313" s="2"/>
      <c r="H313" s="2"/>
      <c r="I313" s="2"/>
      <c r="J313" s="2"/>
      <c r="K313" s="2"/>
      <c r="L313" s="2"/>
      <c r="M313" s="2"/>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row>
    <row r="314" spans="1:43" x14ac:dyDescent="0.3">
      <c r="A314" s="1"/>
      <c r="B314" s="1"/>
      <c r="C314" s="2"/>
      <c r="D314" s="2"/>
      <c r="E314" s="2"/>
      <c r="F314" s="2"/>
      <c r="G314" s="2"/>
      <c r="H314" s="2"/>
      <c r="I314" s="2"/>
      <c r="J314" s="2"/>
      <c r="K314" s="2"/>
      <c r="L314" s="2"/>
      <c r="M314" s="2"/>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row>
    <row r="315" spans="1:43" x14ac:dyDescent="0.3">
      <c r="A315" s="1"/>
      <c r="B315" s="1"/>
      <c r="C315" s="2"/>
      <c r="D315" s="2"/>
      <c r="E315" s="2"/>
      <c r="F315" s="2"/>
      <c r="G315" s="2"/>
      <c r="H315" s="2"/>
      <c r="I315" s="2"/>
      <c r="J315" s="2"/>
      <c r="K315" s="2"/>
      <c r="L315" s="2"/>
      <c r="M315" s="2"/>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row>
    <row r="316" spans="1:43" x14ac:dyDescent="0.3">
      <c r="A316" s="1"/>
      <c r="B316" s="1"/>
      <c r="C316" s="2"/>
      <c r="D316" s="2"/>
      <c r="E316" s="2"/>
      <c r="F316" s="2"/>
      <c r="G316" s="2"/>
      <c r="H316" s="2"/>
      <c r="I316" s="2"/>
      <c r="J316" s="2"/>
      <c r="K316" s="2"/>
      <c r="L316" s="2"/>
      <c r="M316" s="2"/>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row>
    <row r="317" spans="1:43" x14ac:dyDescent="0.3">
      <c r="A317" s="1"/>
      <c r="B317" s="1"/>
      <c r="C317" s="2"/>
      <c r="D317" s="2"/>
      <c r="E317" s="2"/>
      <c r="F317" s="2"/>
      <c r="G317" s="2"/>
      <c r="H317" s="2"/>
      <c r="I317" s="2"/>
      <c r="J317" s="2"/>
      <c r="K317" s="2"/>
      <c r="L317" s="2"/>
      <c r="M317" s="2"/>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row>
    <row r="318" spans="1:43" x14ac:dyDescent="0.3">
      <c r="A318" s="1"/>
      <c r="B318" s="1"/>
      <c r="C318" s="2"/>
      <c r="D318" s="2"/>
      <c r="E318" s="2"/>
      <c r="F318" s="2"/>
      <c r="G318" s="2"/>
      <c r="H318" s="2"/>
      <c r="I318" s="2"/>
      <c r="J318" s="2"/>
      <c r="K318" s="2"/>
      <c r="L318" s="2"/>
      <c r="M318" s="2"/>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row>
  </sheetData>
  <mergeCells count="8">
    <mergeCell ref="F135:G135"/>
    <mergeCell ref="I135:J135"/>
    <mergeCell ref="F130:G130"/>
    <mergeCell ref="I130:J130"/>
    <mergeCell ref="F131:G131"/>
    <mergeCell ref="I131:J131"/>
    <mergeCell ref="F134:G134"/>
    <mergeCell ref="I134:J134"/>
  </mergeCells>
  <conditionalFormatting sqref="B8:J113">
    <cfRule type="cellIs" dxfId="7" priority="1" operator="equal">
      <formula>0</formula>
    </cfRule>
  </conditionalFormatting>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F4F34-1C64-4DC7-AF42-00DE4EB76E15}">
  <sheetPr codeName="Planilha6"/>
  <dimension ref="A1:AX303"/>
  <sheetViews>
    <sheetView showGridLines="0" zoomScale="70" zoomScaleNormal="70" workbookViewId="0">
      <pane xSplit="2" ySplit="7" topLeftCell="C8" activePane="bottomRight" state="frozen"/>
      <selection pane="topRight" activeCell="C1" sqref="C1"/>
      <selection pane="bottomLeft" activeCell="A8" sqref="A8"/>
      <selection pane="bottomRight"/>
    </sheetView>
  </sheetViews>
  <sheetFormatPr defaultColWidth="12.5546875" defaultRowHeight="14.4" x14ac:dyDescent="0.3"/>
  <cols>
    <col min="1" max="1" width="12.5546875" style="3"/>
    <col min="2" max="2" width="41.5546875" style="3" customWidth="1"/>
    <col min="3" max="17" width="14.5546875" style="8" customWidth="1"/>
    <col min="18" max="18" width="52.109375" style="8" customWidth="1"/>
    <col min="19" max="20" width="12.5546875" style="8"/>
    <col min="21" max="16384" width="12.5546875" style="3"/>
  </cols>
  <sheetData>
    <row r="1" spans="1:50" ht="18" customHeight="1" x14ac:dyDescent="0.3">
      <c r="A1" s="1"/>
      <c r="B1" s="1"/>
      <c r="C1" s="2"/>
      <c r="D1" s="2"/>
      <c r="E1" s="2"/>
      <c r="F1" s="2"/>
      <c r="G1" s="2"/>
      <c r="H1" s="2"/>
      <c r="I1" s="2"/>
      <c r="J1" s="2"/>
      <c r="K1" s="2"/>
      <c r="L1" s="2"/>
      <c r="M1" s="2"/>
      <c r="N1" s="2"/>
      <c r="O1" s="2"/>
      <c r="P1" s="2"/>
      <c r="Q1" s="2"/>
      <c r="R1" s="2"/>
      <c r="S1" s="2"/>
      <c r="T1" s="2"/>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spans="1:50" ht="18" customHeight="1" x14ac:dyDescent="0.3">
      <c r="A2" s="1"/>
      <c r="B2" s="1"/>
      <c r="C2" s="2"/>
      <c r="D2" s="2"/>
      <c r="E2" s="2"/>
      <c r="F2" s="2"/>
      <c r="G2" s="2"/>
      <c r="H2" s="2"/>
      <c r="I2" s="2"/>
      <c r="J2" s="2"/>
      <c r="K2" s="2"/>
      <c r="L2" s="2"/>
      <c r="M2" s="2"/>
      <c r="N2" s="2"/>
      <c r="O2" s="2"/>
      <c r="P2" s="2"/>
      <c r="Q2" s="2"/>
      <c r="R2" s="2"/>
      <c r="S2" s="2"/>
      <c r="T2" s="2"/>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r="3" spans="1:50" ht="18" customHeight="1" x14ac:dyDescent="0.3">
      <c r="A3" s="1"/>
      <c r="B3" s="1"/>
      <c r="C3" s="2"/>
      <c r="D3" s="2"/>
      <c r="E3" s="2"/>
      <c r="F3" s="2"/>
      <c r="G3" s="2"/>
      <c r="H3" s="2"/>
      <c r="I3" s="2"/>
      <c r="J3" s="2"/>
      <c r="K3" s="2"/>
      <c r="L3" s="2"/>
      <c r="M3" s="2"/>
      <c r="N3" s="2"/>
      <c r="O3" s="2"/>
      <c r="P3" s="2"/>
      <c r="Q3" s="2"/>
      <c r="R3" s="2"/>
      <c r="S3" s="2"/>
      <c r="T3" s="2"/>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row>
    <row r="4" spans="1:50" ht="18" customHeight="1" x14ac:dyDescent="0.3">
      <c r="A4" s="1"/>
      <c r="B4" s="1"/>
      <c r="C4" s="2"/>
      <c r="D4" s="2"/>
      <c r="E4" s="2"/>
      <c r="F4" s="2"/>
      <c r="G4" s="2"/>
      <c r="H4" s="2"/>
      <c r="I4" s="2"/>
      <c r="J4" s="2"/>
      <c r="K4" s="2"/>
      <c r="L4" s="2"/>
      <c r="M4" s="2"/>
      <c r="N4" s="2"/>
      <c r="O4" s="2"/>
      <c r="P4" s="2"/>
      <c r="Q4" s="2"/>
      <c r="R4" s="2"/>
      <c r="S4" s="2"/>
      <c r="T4" s="2"/>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row>
    <row r="5" spans="1:50" ht="18" customHeight="1" x14ac:dyDescent="0.3">
      <c r="A5" s="1"/>
      <c r="B5" s="1"/>
      <c r="C5" s="2"/>
      <c r="D5" s="2"/>
      <c r="E5" s="2"/>
      <c r="F5" s="2"/>
      <c r="G5" s="2"/>
      <c r="H5" s="2"/>
      <c r="I5" s="2"/>
      <c r="J5" s="2"/>
      <c r="K5" s="2"/>
      <c r="L5" s="2"/>
      <c r="M5" s="2"/>
      <c r="N5" s="2"/>
      <c r="O5" s="2"/>
      <c r="P5" s="2"/>
      <c r="Q5" s="2"/>
      <c r="R5" s="2"/>
      <c r="S5" s="2"/>
      <c r="T5" s="2"/>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row>
    <row r="6" spans="1:50" ht="18" customHeight="1" x14ac:dyDescent="0.3">
      <c r="A6" s="1"/>
      <c r="B6" s="1"/>
      <c r="C6" s="2"/>
      <c r="D6" s="2"/>
      <c r="E6" s="2"/>
      <c r="F6" s="2"/>
      <c r="G6" s="2"/>
      <c r="H6" s="2"/>
      <c r="I6" s="2"/>
      <c r="J6" s="2"/>
      <c r="K6" s="2"/>
      <c r="L6" s="2"/>
      <c r="M6" s="2"/>
      <c r="N6" s="2"/>
      <c r="O6" s="2"/>
      <c r="P6" s="2"/>
      <c r="Q6" s="2"/>
      <c r="R6" s="2"/>
      <c r="S6" s="2"/>
      <c r="T6" s="2"/>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row>
    <row r="7" spans="1:50" ht="18" customHeight="1" thickBot="1" x14ac:dyDescent="0.35">
      <c r="A7" s="1"/>
      <c r="B7" s="52"/>
      <c r="C7" s="16">
        <v>2016</v>
      </c>
      <c r="D7" s="16">
        <f>C7+1</f>
        <v>2017</v>
      </c>
      <c r="E7" s="16">
        <f t="shared" ref="E7:J7" si="0">D7+1</f>
        <v>2018</v>
      </c>
      <c r="F7" s="16">
        <f t="shared" si="0"/>
        <v>2019</v>
      </c>
      <c r="G7" s="16">
        <f t="shared" si="0"/>
        <v>2020</v>
      </c>
      <c r="H7" s="16">
        <f t="shared" si="0"/>
        <v>2021</v>
      </c>
      <c r="I7" s="16">
        <f t="shared" si="0"/>
        <v>2022</v>
      </c>
      <c r="J7" s="16">
        <f t="shared" si="0"/>
        <v>2023</v>
      </c>
      <c r="K7" s="16">
        <v>2024</v>
      </c>
      <c r="L7" s="16">
        <v>2025</v>
      </c>
      <c r="M7" s="45">
        <v>2026</v>
      </c>
      <c r="N7" s="45">
        <v>2027</v>
      </c>
      <c r="O7" s="45">
        <v>2028</v>
      </c>
      <c r="P7" s="45">
        <v>2029</v>
      </c>
      <c r="Q7" s="16"/>
      <c r="R7" s="55" t="s">
        <v>501</v>
      </c>
      <c r="S7" s="2"/>
      <c r="T7" s="2"/>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row>
    <row r="8" spans="1:50" ht="18" customHeight="1" x14ac:dyDescent="0.3">
      <c r="A8" s="1"/>
      <c r="B8" s="58" t="s">
        <v>491</v>
      </c>
      <c r="C8" s="57">
        <v>279</v>
      </c>
      <c r="D8" s="57">
        <f>C8+SUM(D9:D10)</f>
        <v>276</v>
      </c>
      <c r="E8" s="57">
        <f t="shared" ref="E8:J8" si="1">D8+SUM(E9:E10)</f>
        <v>279</v>
      </c>
      <c r="F8" s="57">
        <f t="shared" si="1"/>
        <v>287</v>
      </c>
      <c r="G8" s="57">
        <f t="shared" si="1"/>
        <v>295</v>
      </c>
      <c r="H8" s="57">
        <f t="shared" si="1"/>
        <v>319</v>
      </c>
      <c r="I8" s="57">
        <f t="shared" si="1"/>
        <v>332</v>
      </c>
      <c r="J8" s="57">
        <f t="shared" si="1"/>
        <v>334</v>
      </c>
      <c r="K8" s="57">
        <f t="shared" ref="K8" si="2">J8+SUM(K9:K10)</f>
        <v>332</v>
      </c>
      <c r="L8" s="57">
        <f>K8+SUM(L9:L10)</f>
        <v>342</v>
      </c>
      <c r="M8" s="125">
        <f t="shared" ref="M8:P8" si="3">L8+SUM(M9:M10)</f>
        <v>357</v>
      </c>
      <c r="N8" s="125">
        <f t="shared" si="3"/>
        <v>372</v>
      </c>
      <c r="O8" s="125">
        <f t="shared" si="3"/>
        <v>387</v>
      </c>
      <c r="P8" s="125">
        <f t="shared" si="3"/>
        <v>402</v>
      </c>
      <c r="Q8" s="57"/>
      <c r="R8" s="54"/>
      <c r="S8" s="2"/>
      <c r="T8" s="2"/>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row>
    <row r="9" spans="1:50" ht="18" customHeight="1" x14ac:dyDescent="0.3">
      <c r="A9" s="1"/>
      <c r="B9" s="20" t="s">
        <v>492</v>
      </c>
      <c r="C9" s="32">
        <v>2</v>
      </c>
      <c r="D9" s="32">
        <v>0</v>
      </c>
      <c r="E9" s="32">
        <v>4</v>
      </c>
      <c r="F9" s="32">
        <v>10</v>
      </c>
      <c r="G9" s="32">
        <v>10</v>
      </c>
      <c r="H9" s="32">
        <v>26</v>
      </c>
      <c r="I9" s="32">
        <v>17</v>
      </c>
      <c r="J9" s="32">
        <v>4</v>
      </c>
      <c r="K9" s="32">
        <v>4</v>
      </c>
      <c r="L9" s="32">
        <v>10</v>
      </c>
      <c r="M9" s="126">
        <f>Dashboard!P11</f>
        <v>15</v>
      </c>
      <c r="N9" s="126">
        <f>M9</f>
        <v>15</v>
      </c>
      <c r="O9" s="126">
        <f>N9</f>
        <v>15</v>
      </c>
      <c r="P9" s="126">
        <f>O9</f>
        <v>15</v>
      </c>
      <c r="Q9" s="32"/>
      <c r="R9" s="61" t="s">
        <v>928</v>
      </c>
      <c r="S9" s="2"/>
      <c r="T9" s="2"/>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row>
    <row r="10" spans="1:50" ht="18" customHeight="1" x14ac:dyDescent="0.3">
      <c r="A10" s="1"/>
      <c r="B10" s="20" t="s">
        <v>493</v>
      </c>
      <c r="C10" s="32">
        <v>-20</v>
      </c>
      <c r="D10" s="32">
        <v>-3</v>
      </c>
      <c r="E10" s="32">
        <v>-1</v>
      </c>
      <c r="F10" s="32">
        <v>-2</v>
      </c>
      <c r="G10" s="32">
        <v>-2</v>
      </c>
      <c r="H10" s="32">
        <v>-2</v>
      </c>
      <c r="I10" s="32">
        <v>-4</v>
      </c>
      <c r="J10" s="32">
        <v>-2</v>
      </c>
      <c r="K10" s="32">
        <v>-6</v>
      </c>
      <c r="L10" s="32">
        <v>0</v>
      </c>
      <c r="M10" s="32">
        <v>0</v>
      </c>
      <c r="N10" s="32">
        <v>0</v>
      </c>
      <c r="O10" s="32">
        <v>0</v>
      </c>
      <c r="P10" s="32"/>
      <c r="Q10" s="32"/>
      <c r="R10" s="61" t="s">
        <v>528</v>
      </c>
      <c r="S10" s="2"/>
      <c r="T10" s="2"/>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row>
    <row r="11" spans="1:50" ht="18" customHeight="1" x14ac:dyDescent="0.3">
      <c r="A11" s="1"/>
      <c r="B11" s="58" t="s">
        <v>494</v>
      </c>
      <c r="C11" s="59">
        <f t="shared" ref="C11:M11" si="4">SUM(C12:C15)</f>
        <v>497826.58999999973</v>
      </c>
      <c r="D11" s="59">
        <f t="shared" si="4"/>
        <v>497826.58999999991</v>
      </c>
      <c r="E11" s="59">
        <f t="shared" si="4"/>
        <v>503731.61999999988</v>
      </c>
      <c r="F11" s="59">
        <f t="shared" si="4"/>
        <v>523269.53999999986</v>
      </c>
      <c r="G11" s="59">
        <f t="shared" si="4"/>
        <v>539725.19999999984</v>
      </c>
      <c r="H11" s="59">
        <f t="shared" si="4"/>
        <v>580617.34599999979</v>
      </c>
      <c r="I11" s="59">
        <f t="shared" si="4"/>
        <v>606098.15599999984</v>
      </c>
      <c r="J11" s="59">
        <f t="shared" si="4"/>
        <v>612244.70599999989</v>
      </c>
      <c r="K11" s="59">
        <f t="shared" si="4"/>
        <v>617991.56599999988</v>
      </c>
      <c r="L11" s="59">
        <f t="shared" si="4"/>
        <v>633589.63599999982</v>
      </c>
      <c r="M11" s="56">
        <f t="shared" si="4"/>
        <v>661378.65512280678</v>
      </c>
      <c r="N11" s="56">
        <f t="shared" ref="N11:P11" si="5">SUM(N12:N15)</f>
        <v>689167.67424561374</v>
      </c>
      <c r="O11" s="56">
        <f t="shared" si="5"/>
        <v>716956.6933684207</v>
      </c>
      <c r="P11" s="56">
        <f t="shared" si="5"/>
        <v>744745.71249122766</v>
      </c>
      <c r="Q11" s="59"/>
      <c r="R11" s="61"/>
      <c r="S11" s="2"/>
      <c r="T11" s="2"/>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row>
    <row r="12" spans="1:50" ht="18" customHeight="1" x14ac:dyDescent="0.3">
      <c r="A12" s="1"/>
      <c r="B12" s="20" t="s">
        <v>495</v>
      </c>
      <c r="C12" s="32">
        <f>SUMIF(Lojas!$B$8:$B$347,"&lt;="&amp;(C$7-3),Lojas!$D$8:$D$347)</f>
        <v>440701.78999999975</v>
      </c>
      <c r="D12" s="32">
        <f>SUMIF(Lojas!$B$8:$B$347,"&lt;="&amp;(D$7-3),Lojas!$D$8:$D$347)</f>
        <v>472929.66999999993</v>
      </c>
      <c r="E12" s="32">
        <f>SUMIF(Lojas!$B$8:$B$347,"&lt;="&amp;(E$7-3),Lojas!$D$8:$D$347)</f>
        <v>493340.85999999987</v>
      </c>
      <c r="F12" s="32">
        <f>SUMIF(Lojas!$B$8:$B$347,"&lt;="&amp;(F$7-3),Lojas!$D$8:$D$347)</f>
        <v>497826.58999999985</v>
      </c>
      <c r="G12" s="32">
        <f>SUMIF(Lojas!$B$8:$B$347,"&lt;="&amp;(G$7-3),Lojas!$D$8:$D$347)</f>
        <v>497826.58999999985</v>
      </c>
      <c r="H12" s="32">
        <f>SUMIF(Lojas!$B$8:$B$347,"&lt;="&amp;(H$7-3),Lojas!$D$8:$D$347)</f>
        <v>503731.61999999988</v>
      </c>
      <c r="I12" s="32">
        <f>SUMIF(Lojas!$B$8:$B$347,"&lt;="&amp;(I$7-3),Lojas!$D$8:$D$347)</f>
        <v>523269.53999999986</v>
      </c>
      <c r="J12" s="32">
        <f>SUMIF(Lojas!$B$8:$B$347,"&lt;="&amp;(J$7-3),Lojas!$D$8:$D$347)</f>
        <v>539725.19999999984</v>
      </c>
      <c r="K12" s="32">
        <f>SUMIF(Lojas!$B$8:$B$347,"&lt;="&amp;(K$7-3),Lojas!$D$8:$D$347)</f>
        <v>580617.34599999979</v>
      </c>
      <c r="L12" s="32">
        <f>SUMIF(Lojas!$B$8:$B$347,"&lt;="&amp;(L$7-3),Lojas!$D$8:$D$347)</f>
        <v>606098.15599999984</v>
      </c>
      <c r="M12" s="126">
        <f>L12+L13</f>
        <v>612244.70599999989</v>
      </c>
      <c r="N12" s="126">
        <f t="shared" ref="N12:P12" si="6">M12+M13</f>
        <v>617991.56599999988</v>
      </c>
      <c r="O12" s="126">
        <f t="shared" si="6"/>
        <v>633589.63599999982</v>
      </c>
      <c r="P12" s="126">
        <f t="shared" si="6"/>
        <v>661378.65512280678</v>
      </c>
      <c r="Q12" s="32"/>
      <c r="R12" s="61"/>
      <c r="S12" s="2"/>
      <c r="T12" s="2"/>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row>
    <row r="13" spans="1:50" ht="18" customHeight="1" x14ac:dyDescent="0.3">
      <c r="A13" s="1"/>
      <c r="B13" s="20" t="s">
        <v>496</v>
      </c>
      <c r="C13" s="32">
        <f>SUMIF(Lojas!$B$8:$B$347,C$7-2,Lojas!$D$8:$D$347)</f>
        <v>32227.88</v>
      </c>
      <c r="D13" s="32">
        <f>SUMIF(Lojas!$B$8:$B$347,D$7-2,Lojas!$D$8:$D$347)</f>
        <v>20411.190000000002</v>
      </c>
      <c r="E13" s="32">
        <f>SUMIF(Lojas!$B$8:$B$347,E$7-2,Lojas!$D$8:$D$347)</f>
        <v>4485.7299999999996</v>
      </c>
      <c r="F13" s="32">
        <f>SUMIF(Lojas!$B$8:$B$347,F$7-2,Lojas!$D$8:$D$347)</f>
        <v>0</v>
      </c>
      <c r="G13" s="32">
        <f>SUMIF(Lojas!$B$8:$B$347,G$7-2,Lojas!$D$8:$D$347)</f>
        <v>5905.0300000000007</v>
      </c>
      <c r="H13" s="32">
        <f>SUMIF(Lojas!$B$8:$B$347,H$7-2,Lojas!$D$8:$D$347)</f>
        <v>19537.920000000002</v>
      </c>
      <c r="I13" s="32">
        <f>SUMIF(Lojas!$B$8:$B$347,I$7-2,Lojas!$D$8:$D$347)</f>
        <v>16455.660000000003</v>
      </c>
      <c r="J13" s="32">
        <f>SUMIF(Lojas!$B$8:$B$347,J$7-2,Lojas!$D$8:$D$347)</f>
        <v>40892.145999999993</v>
      </c>
      <c r="K13" s="32">
        <f>SUMIF(Lojas!$B$8:$B$347,K$7-2,Lojas!$D$8:$D$347)</f>
        <v>25480.81</v>
      </c>
      <c r="L13" s="32">
        <f>SUMIF(Lojas!$B$8:$B$347,L$7-2,Lojas!$D$8:$D$347)</f>
        <v>6146.55</v>
      </c>
      <c r="M13" s="126">
        <f>L14</f>
        <v>5746.86</v>
      </c>
      <c r="N13" s="126">
        <f t="shared" ref="N13:P13" si="7">M14</f>
        <v>15598.07</v>
      </c>
      <c r="O13" s="126">
        <f t="shared" si="7"/>
        <v>27789.019122807011</v>
      </c>
      <c r="P13" s="126">
        <f t="shared" si="7"/>
        <v>27789.019122807011</v>
      </c>
      <c r="Q13" s="32"/>
      <c r="R13" s="61"/>
      <c r="S13" s="2"/>
      <c r="T13" s="2"/>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row>
    <row r="14" spans="1:50" ht="18" customHeight="1" x14ac:dyDescent="0.3">
      <c r="A14" s="1"/>
      <c r="B14" s="20" t="s">
        <v>497</v>
      </c>
      <c r="C14" s="32">
        <f>SUMIF(Lojas!$B$8:$B$347,C$7-1,Lojas!$D$8:$D$347)</f>
        <v>20411.190000000002</v>
      </c>
      <c r="D14" s="32">
        <f>SUMIF(Lojas!$B$8:$B$347,D$7-1,Lojas!$D$8:$D$347)</f>
        <v>4485.7299999999996</v>
      </c>
      <c r="E14" s="32">
        <f>SUMIF(Lojas!$B$8:$B$347,E$7-1,Lojas!$D$8:$D$347)</f>
        <v>0</v>
      </c>
      <c r="F14" s="32">
        <f>SUMIF(Lojas!$B$8:$B$347,F$7-1,Lojas!$D$8:$D$347)</f>
        <v>5905.0300000000007</v>
      </c>
      <c r="G14" s="32">
        <f>SUMIF(Lojas!$B$8:$B$347,G$7-1,Lojas!$D$8:$D$347)</f>
        <v>19537.920000000002</v>
      </c>
      <c r="H14" s="32">
        <f>SUMIF(Lojas!$B$8:$B$347,H$7-1,Lojas!$D$8:$D$347)</f>
        <v>16455.660000000003</v>
      </c>
      <c r="I14" s="32">
        <f>SUMIF(Lojas!$B$8:$B$347,I$7-1,Lojas!$D$8:$D$347)</f>
        <v>40892.145999999993</v>
      </c>
      <c r="J14" s="32">
        <f>SUMIF(Lojas!$B$8:$B$347,J$7-1,Lojas!$D$8:$D$347)</f>
        <v>25480.81</v>
      </c>
      <c r="K14" s="32">
        <f>SUMIF(Lojas!$B$8:$B$347,K$7-1,Lojas!$D$8:$D$347)</f>
        <v>6146.55</v>
      </c>
      <c r="L14" s="32">
        <f>SUMIF(Lojas!$B$8:$B$347,L$7-1,Lojas!$D$8:$D$347)</f>
        <v>5746.86</v>
      </c>
      <c r="M14" s="126">
        <f>L15</f>
        <v>15598.07</v>
      </c>
      <c r="N14" s="126">
        <f>M15</f>
        <v>27789.019122807011</v>
      </c>
      <c r="O14" s="126">
        <f t="shared" ref="O14:P14" si="8">N15</f>
        <v>27789.019122807011</v>
      </c>
      <c r="P14" s="126">
        <f t="shared" si="8"/>
        <v>27789.019122807011</v>
      </c>
      <c r="Q14" s="32"/>
      <c r="R14" s="6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row>
    <row r="15" spans="1:50" ht="18" customHeight="1" x14ac:dyDescent="0.3">
      <c r="A15" s="1"/>
      <c r="B15" s="20" t="s">
        <v>498</v>
      </c>
      <c r="C15" s="32">
        <f>SUMIF(Lojas!$B$8:$B$347,C$7,Lojas!$D$8:$D$347)</f>
        <v>4485.7299999999996</v>
      </c>
      <c r="D15" s="32">
        <f>SUMIF(Lojas!$B$8:$B$347,D$7,Lojas!$D$8:$D$347)</f>
        <v>0</v>
      </c>
      <c r="E15" s="32">
        <f>SUMIF(Lojas!$B$8:$B$347,E$7,Lojas!$D$8:$D$347)</f>
        <v>5905.0300000000007</v>
      </c>
      <c r="F15" s="32">
        <f>SUMIF(Lojas!$B$8:$B$347,F$7,Lojas!$D$8:$D$347)</f>
        <v>19537.920000000002</v>
      </c>
      <c r="G15" s="32">
        <f>SUMIF(Lojas!$B$8:$B$347,G$7,Lojas!$D$8:$D$347)</f>
        <v>16455.660000000003</v>
      </c>
      <c r="H15" s="32">
        <f>SUMIF(Lojas!$B$8:$B$347,H$7,Lojas!$D$8:$D$347)</f>
        <v>40892.145999999993</v>
      </c>
      <c r="I15" s="32">
        <f>SUMIF(Lojas!$B$8:$B$347,I$7,Lojas!$D$8:$D$347)</f>
        <v>25480.81</v>
      </c>
      <c r="J15" s="32">
        <f>SUMIF(Lojas!$B$8:$B$347,J$7,Lojas!$D$8:$D$347)</f>
        <v>6146.55</v>
      </c>
      <c r="K15" s="32">
        <f>SUMIF(Lojas!$B$8:$B$347,K$7,Lojas!$D$8:$D$347)</f>
        <v>5746.86</v>
      </c>
      <c r="L15" s="32">
        <f>SUMIF(Lojas!$B$8:$B$347,L$7,Lojas!$D$8:$D$347)</f>
        <v>15598.07</v>
      </c>
      <c r="M15" s="126">
        <f>M9*M16</f>
        <v>27789.019122807011</v>
      </c>
      <c r="N15" s="126">
        <f>N9*N16</f>
        <v>27789.019122807011</v>
      </c>
      <c r="O15" s="126">
        <f>O9*O16</f>
        <v>27789.019122807011</v>
      </c>
      <c r="P15" s="126">
        <f>P9*P16</f>
        <v>27789.019122807011</v>
      </c>
      <c r="Q15" s="32"/>
      <c r="R15" s="6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0" ht="18" customHeight="1" x14ac:dyDescent="0.3">
      <c r="A16" s="1"/>
      <c r="B16" s="58" t="s">
        <v>499</v>
      </c>
      <c r="C16" s="59">
        <f t="array" ref="C16:J16">LOJAS_AREA_TOTAL/NUMERO_LOJAS</f>
        <v>1784.3246953405007</v>
      </c>
      <c r="D16" s="59">
        <v>1803.7195289855069</v>
      </c>
      <c r="E16" s="59">
        <v>1805.4896774193544</v>
      </c>
      <c r="F16" s="59">
        <v>1823.2388153310101</v>
      </c>
      <c r="G16" s="59">
        <v>1829.5769491525418</v>
      </c>
      <c r="H16" s="59">
        <v>1820.1170721003127</v>
      </c>
      <c r="I16" s="59">
        <v>1825.5968554216863</v>
      </c>
      <c r="J16" s="59">
        <v>1833.0679820359278</v>
      </c>
      <c r="K16" s="59">
        <f>K11/K8</f>
        <v>1861.420379518072</v>
      </c>
      <c r="L16" s="59">
        <f>L11/L8</f>
        <v>1852.6012748538008</v>
      </c>
      <c r="M16" s="56">
        <f>$L$16</f>
        <v>1852.6012748538008</v>
      </c>
      <c r="N16" s="56">
        <f t="shared" ref="N16:P16" si="9">$L$16</f>
        <v>1852.6012748538008</v>
      </c>
      <c r="O16" s="56">
        <f t="shared" si="9"/>
        <v>1852.6012748538008</v>
      </c>
      <c r="P16" s="56">
        <f t="shared" si="9"/>
        <v>1852.6012748538008</v>
      </c>
      <c r="Q16" s="59"/>
      <c r="R16" s="61" t="s">
        <v>929</v>
      </c>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ht="18" customHeight="1" x14ac:dyDescent="0.3">
      <c r="A17" s="1"/>
      <c r="B17" s="115" t="s">
        <v>927</v>
      </c>
      <c r="C17" s="121">
        <f t="shared" ref="C17:P17" si="10">(C15*$C$24)+(C14*$C$23)+(C13*$C$22)+C12</f>
        <v>482247.86019999976</v>
      </c>
      <c r="D17" s="121">
        <f t="shared" si="10"/>
        <v>492876.39679999993</v>
      </c>
      <c r="E17" s="121">
        <f t="shared" si="10"/>
        <v>498540.27339999989</v>
      </c>
      <c r="F17" s="121">
        <f t="shared" si="10"/>
        <v>506667.44009999983</v>
      </c>
      <c r="G17" s="121">
        <f t="shared" si="10"/>
        <v>519932.08629999985</v>
      </c>
      <c r="H17" s="121">
        <f t="shared" si="10"/>
        <v>541196.42229999986</v>
      </c>
      <c r="I17" s="121">
        <f t="shared" si="10"/>
        <v>570695.67811999982</v>
      </c>
      <c r="J17" s="121">
        <f t="shared" si="10"/>
        <v>592274.46137999988</v>
      </c>
      <c r="K17" s="121">
        <f t="shared" si="10"/>
        <v>607321.3217999998</v>
      </c>
      <c r="L17" s="121">
        <f t="shared" si="10"/>
        <v>618949.7061999999</v>
      </c>
      <c r="M17" s="121">
        <f t="shared" si="10"/>
        <v>634412.56148070167</v>
      </c>
      <c r="N17" s="121">
        <f t="shared" si="10"/>
        <v>656503.86169298238</v>
      </c>
      <c r="O17" s="121">
        <f t="shared" si="10"/>
        <v>682220.41946491203</v>
      </c>
      <c r="P17" s="121">
        <f t="shared" si="10"/>
        <v>710009.43858771911</v>
      </c>
      <c r="Q17" s="59"/>
      <c r="R17" s="6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ht="18" customHeight="1" x14ac:dyDescent="0.3">
      <c r="A18" s="1"/>
      <c r="B18" s="58" t="s">
        <v>500</v>
      </c>
      <c r="C18" s="60">
        <f>C27/C17</f>
        <v>9.5410417541133175</v>
      </c>
      <c r="D18" s="60">
        <f t="shared" ref="D18:J18" si="11">D27/D17</f>
        <v>9.6968015734365984</v>
      </c>
      <c r="E18" s="60">
        <f t="shared" si="11"/>
        <v>9.7927675264920762</v>
      </c>
      <c r="F18" s="60">
        <f t="shared" si="11"/>
        <v>9.9707433321606924</v>
      </c>
      <c r="G18" s="60">
        <f t="shared" si="11"/>
        <v>7.5450027097125529</v>
      </c>
      <c r="H18" s="60">
        <f t="shared" si="11"/>
        <v>9.1660491377937952</v>
      </c>
      <c r="I18" s="60">
        <f t="shared" si="11"/>
        <v>10.34611830152754</v>
      </c>
      <c r="J18" s="60">
        <f t="shared" si="11"/>
        <v>10.698924929559659</v>
      </c>
      <c r="K18" s="60">
        <f t="shared" ref="K18" si="12">K27/K17</f>
        <v>11.848034544009652</v>
      </c>
      <c r="L18" s="60">
        <f t="shared" ref="L18" si="13">L27/L17</f>
        <v>12.349768685134617</v>
      </c>
      <c r="M18" s="127">
        <f>_xlfn.FORECAST.LINEAR(M7,_xlfn.HSTACK($C$18:$F$18,$I$18:$L$18),_xlfn.HSTACK($C$7:$F$7,$I$7:$L$7))</f>
        <v>12.073009641972135</v>
      </c>
      <c r="N18" s="127">
        <f>_xlfn.FORECAST.LINEAR(N7,_xlfn.HSTACK($C$18:$F$18,$I$18:$L$18),_xlfn.HSTACK($C$7:$F$7,$I$7:$L$7))</f>
        <v>12.353461380366298</v>
      </c>
      <c r="O18" s="127">
        <f>_xlfn.FORECAST.LINEAR(O7,_xlfn.HSTACK($C$18:$F$18,$I$18:$L$18),_xlfn.HSTACK($C$7:$F$7,$I$7:$L$7))</f>
        <v>12.633913118760461</v>
      </c>
      <c r="P18" s="127">
        <f>_xlfn.FORECAST.LINEAR(P7,_xlfn.HSTACK($C$18:$F$18,$I$18:$L$18),_xlfn.HSTACK($C$7:$F$7,$I$7:$L$7))</f>
        <v>12.914364857154624</v>
      </c>
      <c r="Q18" s="60"/>
      <c r="R18" s="61" t="s">
        <v>514</v>
      </c>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0" ht="18" customHeight="1" x14ac:dyDescent="0.3">
      <c r="A19" s="1"/>
      <c r="B19" s="21"/>
      <c r="C19" s="53"/>
      <c r="D19" s="53"/>
      <c r="E19" s="53"/>
      <c r="F19" s="53"/>
      <c r="G19" s="53"/>
      <c r="H19" s="53"/>
      <c r="I19" s="53"/>
      <c r="J19" s="53"/>
      <c r="K19" s="53"/>
      <c r="L19" s="53"/>
      <c r="M19" s="53"/>
      <c r="N19" s="53"/>
      <c r="O19" s="53"/>
      <c r="P19" s="53"/>
      <c r="Q19" s="53"/>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0" spans="1:50" ht="18" customHeight="1" x14ac:dyDescent="0.3">
      <c r="A20" s="1"/>
      <c r="B20" s="72" t="s">
        <v>502</v>
      </c>
      <c r="C20" s="53"/>
      <c r="D20" s="53"/>
      <c r="E20" s="122"/>
      <c r="F20" s="53"/>
      <c r="G20" s="53"/>
      <c r="H20" s="123"/>
      <c r="I20" s="53"/>
      <c r="J20" s="53"/>
      <c r="K20" s="53"/>
      <c r="L20" s="53"/>
      <c r="M20" s="53"/>
      <c r="N20" s="53"/>
      <c r="O20" s="53"/>
      <c r="P20" s="53"/>
      <c r="Q20" s="53"/>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row>
    <row r="21" spans="1:50" ht="18" customHeight="1" x14ac:dyDescent="0.3">
      <c r="A21" s="1"/>
      <c r="B21" s="108" t="s">
        <v>495</v>
      </c>
      <c r="C21" s="132">
        <v>1</v>
      </c>
      <c r="D21" s="134" t="s">
        <v>936</v>
      </c>
      <c r="E21" s="53"/>
      <c r="F21" s="53"/>
      <c r="G21" s="53"/>
      <c r="H21" s="53"/>
      <c r="I21" s="53"/>
      <c r="J21" s="53"/>
      <c r="K21" s="53"/>
      <c r="L21" s="53"/>
      <c r="M21" s="53"/>
      <c r="N21" s="53"/>
      <c r="O21" s="53"/>
      <c r="P21" s="53"/>
      <c r="Q21" s="53"/>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row>
    <row r="22" spans="1:50" ht="18" customHeight="1" x14ac:dyDescent="0.3">
      <c r="A22" s="1"/>
      <c r="B22" s="108" t="s">
        <v>496</v>
      </c>
      <c r="C22" s="132">
        <v>0.83</v>
      </c>
      <c r="D22" s="134" t="s">
        <v>935</v>
      </c>
      <c r="E22" s="53"/>
      <c r="F22" s="53"/>
      <c r="G22" s="53"/>
      <c r="H22" s="53"/>
      <c r="I22" s="53"/>
      <c r="J22" s="53"/>
      <c r="K22" s="53"/>
      <c r="L22" s="53"/>
      <c r="M22" s="53"/>
      <c r="N22" s="53"/>
      <c r="O22" s="53"/>
      <c r="P22" s="53"/>
      <c r="Q22" s="53"/>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row>
    <row r="23" spans="1:50" ht="18" customHeight="1" x14ac:dyDescent="0.3">
      <c r="A23" s="1"/>
      <c r="B23" s="108" t="s">
        <v>497</v>
      </c>
      <c r="C23" s="132">
        <v>0.67</v>
      </c>
      <c r="D23" s="134" t="s">
        <v>934</v>
      </c>
      <c r="E23" s="53"/>
      <c r="F23" s="53"/>
      <c r="G23" s="53"/>
      <c r="H23" s="53"/>
      <c r="I23" s="53"/>
      <c r="J23" s="53"/>
      <c r="K23" s="53"/>
      <c r="L23" s="53"/>
      <c r="M23" s="53"/>
      <c r="N23" s="53"/>
      <c r="O23" s="53"/>
      <c r="P23" s="53"/>
      <c r="Q23" s="53"/>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23.4" customHeight="1" x14ac:dyDescent="0.3">
      <c r="A24" s="1"/>
      <c r="B24" s="108" t="s">
        <v>498</v>
      </c>
      <c r="C24" s="132">
        <v>0.25</v>
      </c>
      <c r="D24" s="134" t="s">
        <v>933</v>
      </c>
      <c r="E24" s="133"/>
      <c r="F24" s="53"/>
      <c r="G24" s="53"/>
      <c r="H24" s="53"/>
      <c r="I24" s="53"/>
      <c r="J24" s="53"/>
      <c r="K24" s="53"/>
      <c r="L24" s="53"/>
      <c r="M24" s="53"/>
      <c r="N24" s="53"/>
      <c r="O24" s="53"/>
      <c r="P24" s="53"/>
      <c r="Q24" s="53"/>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18" customHeight="1" x14ac:dyDescent="0.3">
      <c r="A25" s="1"/>
      <c r="B25" s="21"/>
      <c r="C25" s="53"/>
      <c r="D25" s="53"/>
      <c r="E25" s="53"/>
      <c r="F25" s="53"/>
      <c r="G25" s="53"/>
      <c r="H25" s="53"/>
      <c r="I25" s="53"/>
      <c r="J25" s="53"/>
      <c r="K25" s="53"/>
      <c r="L25" s="53"/>
      <c r="M25" s="53"/>
      <c r="N25" s="53"/>
      <c r="O25" s="53"/>
      <c r="P25" s="53"/>
      <c r="Q25" s="53"/>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row>
    <row r="26" spans="1:50" ht="18" customHeight="1" thickBot="1" x14ac:dyDescent="0.35">
      <c r="A26" s="1"/>
      <c r="B26" s="52"/>
      <c r="C26" s="16">
        <v>2016</v>
      </c>
      <c r="D26" s="16">
        <f t="shared" ref="D26:J26" si="14">C26+1</f>
        <v>2017</v>
      </c>
      <c r="E26" s="16">
        <f t="shared" si="14"/>
        <v>2018</v>
      </c>
      <c r="F26" s="16">
        <f t="shared" si="14"/>
        <v>2019</v>
      </c>
      <c r="G26" s="16">
        <f t="shared" si="14"/>
        <v>2020</v>
      </c>
      <c r="H26" s="16">
        <f t="shared" si="14"/>
        <v>2021</v>
      </c>
      <c r="I26" s="16">
        <f t="shared" si="14"/>
        <v>2022</v>
      </c>
      <c r="J26" s="16">
        <f t="shared" si="14"/>
        <v>2023</v>
      </c>
      <c r="K26" s="16">
        <v>2024</v>
      </c>
      <c r="L26" s="16">
        <v>2025</v>
      </c>
      <c r="M26" s="45">
        <v>2026</v>
      </c>
      <c r="N26" s="45">
        <v>2027</v>
      </c>
      <c r="O26" s="45">
        <v>2028</v>
      </c>
      <c r="P26" s="45">
        <v>2029</v>
      </c>
      <c r="Q26" s="16"/>
      <c r="R26" s="55" t="s">
        <v>501</v>
      </c>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row>
    <row r="27" spans="1:50" ht="18" customHeight="1" x14ac:dyDescent="0.3">
      <c r="A27" s="1"/>
      <c r="B27" s="58" t="s">
        <v>488</v>
      </c>
      <c r="C27" s="32">
        <f t="array" ref="C27:J27">RL_VAREJO</f>
        <v>4601146.97</v>
      </c>
      <c r="D27" s="32">
        <v>4779324.62</v>
      </c>
      <c r="E27" s="32">
        <v>4882089</v>
      </c>
      <c r="F27" s="32">
        <v>5051851</v>
      </c>
      <c r="G27" s="32">
        <v>3922889</v>
      </c>
      <c r="H27" s="32">
        <v>4960633</v>
      </c>
      <c r="I27" s="32">
        <v>5904485</v>
      </c>
      <c r="J27" s="32">
        <v>6336700</v>
      </c>
      <c r="K27" s="32">
        <f>'DRE + DCF'!K11</f>
        <v>7195564</v>
      </c>
      <c r="L27" s="32">
        <f>'DRE + DCF'!L11</f>
        <v>7643885.6993020298</v>
      </c>
      <c r="M27" s="126">
        <f>M17*M18</f>
        <v>7659268.9717447506</v>
      </c>
      <c r="N27" s="126">
        <f t="shared" ref="N27:P27" si="15">N17*N18</f>
        <v>8110095.1014855951</v>
      </c>
      <c r="O27" s="126">
        <f t="shared" si="15"/>
        <v>8619113.507364016</v>
      </c>
      <c r="P27" s="126">
        <f t="shared" si="15"/>
        <v>9169320.9419453237</v>
      </c>
      <c r="Q27" s="32"/>
      <c r="R27" s="6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row>
    <row r="28" spans="1:50" ht="18" customHeight="1" x14ac:dyDescent="0.3">
      <c r="A28" s="1"/>
      <c r="B28" s="58" t="s">
        <v>490</v>
      </c>
      <c r="C28" s="32">
        <f t="array" ref="C28:J28">RL_OUTROS</f>
        <v>0</v>
      </c>
      <c r="D28" s="32">
        <v>0</v>
      </c>
      <c r="E28" s="32">
        <v>15754</v>
      </c>
      <c r="F28" s="32">
        <v>16925</v>
      </c>
      <c r="G28" s="32">
        <v>13338</v>
      </c>
      <c r="H28" s="32">
        <v>17599</v>
      </c>
      <c r="I28" s="32">
        <v>21693</v>
      </c>
      <c r="J28" s="32">
        <v>26025</v>
      </c>
      <c r="K28" s="32">
        <f>'DRE + DCF'!K13</f>
        <v>36877.174740000002</v>
      </c>
      <c r="L28" s="32">
        <f>'DRE + DCF'!L13</f>
        <v>21955.76801</v>
      </c>
      <c r="M28" s="126">
        <f>M27*M29</f>
        <v>28532.273075310928</v>
      </c>
      <c r="N28" s="126">
        <f t="shared" ref="N28:P28" si="16">N27*N29</f>
        <v>30211.688472616286</v>
      </c>
      <c r="O28" s="126">
        <f t="shared" si="16"/>
        <v>32107.881465767456</v>
      </c>
      <c r="P28" s="126">
        <f t="shared" si="16"/>
        <v>34157.511636669267</v>
      </c>
      <c r="Q28" s="32"/>
      <c r="R28" s="61" t="s">
        <v>932</v>
      </c>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row>
    <row r="29" spans="1:50" ht="18" customHeight="1" collapsed="1" x14ac:dyDescent="0.3">
      <c r="A29" s="1"/>
      <c r="B29" s="20" t="s">
        <v>503</v>
      </c>
      <c r="C29" s="46">
        <f t="array" ref="C29:J29">RL_OUTROS/RL_VAREJO</f>
        <v>0</v>
      </c>
      <c r="D29" s="46">
        <v>0</v>
      </c>
      <c r="E29" s="46">
        <v>3.2268973384139451E-3</v>
      </c>
      <c r="F29" s="46">
        <v>3.3502571631665303E-3</v>
      </c>
      <c r="G29" s="46">
        <v>3.4000452217740548E-3</v>
      </c>
      <c r="H29" s="46">
        <v>3.5477327187881063E-3</v>
      </c>
      <c r="I29" s="46">
        <v>3.6739868083329875E-3</v>
      </c>
      <c r="J29" s="46">
        <v>4.1070273170577742E-3</v>
      </c>
      <c r="K29" s="46">
        <f>K28/K27</f>
        <v>5.1249873866732343E-3</v>
      </c>
      <c r="L29" s="46">
        <f>L28/L27</f>
        <v>2.8723307586879278E-3</v>
      </c>
      <c r="M29" s="135">
        <f>AVERAGE(F29:L29)</f>
        <v>3.7251953392115162E-3</v>
      </c>
      <c r="N29" s="135">
        <f t="shared" ref="N29:P29" si="17">AVERAGE($F$29:$L$29)</f>
        <v>3.7251953392115162E-3</v>
      </c>
      <c r="O29" s="135">
        <f t="shared" si="17"/>
        <v>3.7251953392115162E-3</v>
      </c>
      <c r="P29" s="135">
        <f t="shared" si="17"/>
        <v>3.7251953392115162E-3</v>
      </c>
      <c r="Q29" s="46"/>
      <c r="R29" s="6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row>
    <row r="30" spans="1:50" ht="18" customHeight="1" x14ac:dyDescent="0.3">
      <c r="A30" s="1"/>
      <c r="B30" s="21"/>
      <c r="C30" s="53"/>
      <c r="D30" s="53"/>
      <c r="E30" s="53"/>
      <c r="F30" s="53"/>
      <c r="G30" s="53"/>
      <c r="H30" s="53"/>
      <c r="I30" s="53"/>
      <c r="J30" s="53"/>
      <c r="K30" s="53"/>
      <c r="L30" s="53"/>
      <c r="M30" s="53"/>
      <c r="N30" s="53"/>
      <c r="O30" s="53"/>
      <c r="P30" s="53"/>
      <c r="Q30" s="53"/>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row>
    <row r="31" spans="1:50" ht="18" customHeight="1" x14ac:dyDescent="0.3">
      <c r="A31" s="1"/>
      <c r="B31" s="21"/>
      <c r="C31" s="53"/>
      <c r="D31" s="53"/>
      <c r="E31" s="53"/>
      <c r="F31" s="53"/>
      <c r="G31" s="124"/>
      <c r="H31" s="53"/>
      <c r="I31" s="53"/>
      <c r="J31" s="53"/>
      <c r="K31" s="53"/>
      <c r="L31" s="53"/>
      <c r="M31" s="53"/>
      <c r="N31" s="53"/>
      <c r="O31" s="53"/>
      <c r="P31" s="53"/>
      <c r="Q31" s="53"/>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row>
    <row r="32" spans="1:50" ht="18" customHeight="1" x14ac:dyDescent="0.3">
      <c r="A32" s="1"/>
      <c r="B32" s="21"/>
      <c r="C32" s="24"/>
      <c r="D32" s="24"/>
      <c r="E32" s="24"/>
      <c r="F32" s="24"/>
      <c r="G32" s="24"/>
      <c r="H32" s="24"/>
      <c r="I32" s="24"/>
      <c r="J32" s="25"/>
      <c r="K32" s="24"/>
      <c r="L32" s="24"/>
      <c r="M32" s="24"/>
      <c r="N32" s="24"/>
      <c r="O32" s="24"/>
      <c r="P32" s="24"/>
      <c r="Q32" s="24"/>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3" spans="1:50" ht="18" customHeight="1" x14ac:dyDescent="0.3">
      <c r="A33" s="1"/>
      <c r="B33" s="21"/>
      <c r="C33" s="25"/>
      <c r="D33" s="25"/>
      <c r="E33" s="25"/>
      <c r="F33" s="25"/>
      <c r="G33" s="25"/>
      <c r="H33" s="25"/>
      <c r="I33" s="25"/>
      <c r="J33" s="25"/>
      <c r="K33" s="25"/>
      <c r="L33" s="25"/>
      <c r="M33" s="25"/>
      <c r="N33" s="25"/>
      <c r="O33" s="25"/>
      <c r="P33" s="25"/>
      <c r="Q33" s="25"/>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spans="1:50" ht="18" customHeight="1" x14ac:dyDescent="0.3">
      <c r="A34" s="1"/>
      <c r="B34" s="14"/>
      <c r="C34" s="38"/>
      <c r="D34" s="38"/>
      <c r="E34" s="38"/>
      <c r="F34" s="38"/>
      <c r="G34" s="38"/>
      <c r="H34" s="38"/>
      <c r="I34" s="38"/>
      <c r="J34" s="38"/>
      <c r="K34" s="38"/>
      <c r="L34" s="38"/>
      <c r="M34" s="38"/>
      <c r="N34" s="38"/>
      <c r="O34" s="38"/>
      <c r="P34" s="38"/>
      <c r="Q34" s="38"/>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spans="1:50" ht="18" customHeight="1" x14ac:dyDescent="0.3">
      <c r="A35" s="1"/>
      <c r="B35" s="14"/>
      <c r="C35" s="24"/>
      <c r="D35" s="24"/>
      <c r="E35" s="24"/>
      <c r="F35" s="24"/>
      <c r="G35" s="24"/>
      <c r="H35" s="24"/>
      <c r="I35" s="24"/>
      <c r="J35" s="24"/>
      <c r="K35" s="24"/>
      <c r="L35" s="24"/>
      <c r="M35" s="24"/>
      <c r="N35" s="24"/>
      <c r="O35" s="24"/>
      <c r="P35" s="24"/>
      <c r="Q35" s="24"/>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r="36" spans="1:50" ht="18" customHeight="1" x14ac:dyDescent="0.3">
      <c r="A36" s="1"/>
      <c r="B36" s="14"/>
      <c r="C36" s="24"/>
      <c r="D36" s="24"/>
      <c r="E36" s="24"/>
      <c r="F36" s="24"/>
      <c r="G36" s="24"/>
      <c r="H36" s="24"/>
      <c r="I36" s="24"/>
      <c r="J36" s="24"/>
      <c r="K36" s="24"/>
      <c r="L36" s="24"/>
      <c r="M36" s="24"/>
      <c r="N36" s="24"/>
      <c r="O36" s="24"/>
      <c r="P36" s="24"/>
      <c r="Q36" s="24"/>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spans="1:50" ht="18" customHeight="1" x14ac:dyDescent="0.3">
      <c r="A37" s="1"/>
      <c r="B37" s="14"/>
      <c r="C37" s="24"/>
      <c r="D37" s="24"/>
      <c r="E37" s="24"/>
      <c r="F37" s="24"/>
      <c r="G37" s="24"/>
      <c r="H37" s="24"/>
      <c r="I37" s="24"/>
      <c r="J37" s="24"/>
      <c r="K37" s="24"/>
      <c r="L37" s="24"/>
      <c r="M37" s="24"/>
      <c r="N37" s="24"/>
      <c r="O37" s="24"/>
      <c r="P37" s="24"/>
      <c r="Q37" s="24"/>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spans="1:50" ht="18" customHeight="1" x14ac:dyDescent="0.3">
      <c r="A38" s="1"/>
      <c r="B38" s="14"/>
      <c r="C38" s="24"/>
      <c r="D38" s="24"/>
      <c r="E38" s="24"/>
      <c r="F38" s="24"/>
      <c r="G38" s="24"/>
      <c r="H38" s="24"/>
      <c r="I38" s="24"/>
      <c r="J38" s="24"/>
      <c r="K38" s="24"/>
      <c r="L38" s="24"/>
      <c r="M38" s="24"/>
      <c r="N38" s="24"/>
      <c r="O38" s="24"/>
      <c r="P38" s="24"/>
      <c r="Q38" s="24"/>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spans="1:50" ht="18" customHeight="1" x14ac:dyDescent="0.3">
      <c r="A39" s="1"/>
      <c r="B39" s="14"/>
      <c r="C39" s="24"/>
      <c r="D39" s="24"/>
      <c r="E39" s="24"/>
      <c r="F39" s="24"/>
      <c r="G39" s="24"/>
      <c r="H39" s="24"/>
      <c r="I39" s="24"/>
      <c r="J39" s="24"/>
      <c r="K39" s="24"/>
      <c r="L39" s="24"/>
      <c r="M39" s="24"/>
      <c r="N39" s="24"/>
      <c r="O39" s="24"/>
      <c r="P39" s="24"/>
      <c r="Q39" s="24"/>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spans="1:50" ht="18" customHeight="1" x14ac:dyDescent="0.3">
      <c r="A40" s="1"/>
      <c r="B40" s="21"/>
      <c r="C40" s="38"/>
      <c r="D40" s="38"/>
      <c r="E40" s="38"/>
      <c r="F40" s="38"/>
      <c r="G40" s="38"/>
      <c r="H40" s="24"/>
      <c r="I40" s="24"/>
      <c r="J40" s="24"/>
      <c r="K40" s="24"/>
      <c r="L40" s="24"/>
      <c r="M40" s="24"/>
      <c r="N40" s="24"/>
      <c r="O40" s="24"/>
      <c r="P40" s="24"/>
      <c r="Q40" s="24"/>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r="41" spans="1:50" ht="18" customHeight="1" x14ac:dyDescent="0.3">
      <c r="A41" s="1"/>
      <c r="B41" s="12"/>
      <c r="C41" s="38"/>
      <c r="D41" s="24"/>
      <c r="E41" s="24"/>
      <c r="F41" s="24"/>
      <c r="G41" s="24"/>
      <c r="H41" s="24"/>
      <c r="I41" s="24"/>
      <c r="J41" s="24"/>
      <c r="K41" s="24"/>
      <c r="L41" s="24"/>
      <c r="M41" s="24"/>
      <c r="N41" s="24"/>
      <c r="O41" s="24"/>
      <c r="P41" s="24"/>
      <c r="Q41" s="24"/>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r="42" spans="1:50" ht="18" customHeight="1" x14ac:dyDescent="0.3">
      <c r="A42" s="1"/>
      <c r="B42" s="12"/>
      <c r="C42" s="38"/>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r="43" spans="1:50" ht="18" customHeight="1" x14ac:dyDescent="0.3">
      <c r="A43" s="1"/>
      <c r="B43" s="12"/>
      <c r="C43" s="38"/>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r="44" spans="1:50" ht="18" customHeight="1" x14ac:dyDescent="0.3">
      <c r="A44" s="1"/>
      <c r="B44" s="12"/>
      <c r="C44" s="38"/>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row>
    <row r="45" spans="1:50" ht="18" customHeight="1" x14ac:dyDescent="0.3">
      <c r="A45" s="1"/>
      <c r="B45" s="12"/>
      <c r="C45" s="38"/>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row>
    <row r="46" spans="1:50" ht="18" customHeight="1" x14ac:dyDescent="0.3">
      <c r="A46" s="1"/>
      <c r="B46" s="2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row>
    <row r="47" spans="1:50" ht="18" customHeight="1" x14ac:dyDescent="0.3">
      <c r="A47" s="1"/>
      <c r="B47" s="2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row>
    <row r="48" spans="1:50" ht="18" customHeight="1" x14ac:dyDescent="0.3">
      <c r="A48" s="1"/>
      <c r="B48" s="2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row>
    <row r="49" spans="1:50" ht="18" customHeight="1" x14ac:dyDescent="0.3">
      <c r="A49" s="1"/>
      <c r="B49" s="2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spans="1:50" ht="18" customHeight="1" x14ac:dyDescent="0.3">
      <c r="A50" s="1"/>
      <c r="B50" s="2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row>
    <row r="51" spans="1:50" ht="18" customHeight="1" x14ac:dyDescent="0.3">
      <c r="A51" s="1"/>
      <c r="B51" s="2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row>
    <row r="52" spans="1:50" ht="18" customHeight="1" collapsed="1" x14ac:dyDescent="0.3">
      <c r="A52" s="1"/>
      <c r="B52" s="21"/>
      <c r="C52" s="1"/>
      <c r="D52" s="1"/>
      <c r="E52" s="1"/>
      <c r="F52" s="1"/>
      <c r="G52" s="1"/>
      <c r="H52" s="1"/>
      <c r="I52" s="1"/>
      <c r="J52" s="1"/>
      <c r="K52" s="1"/>
      <c r="L52" s="1"/>
      <c r="M52" s="1"/>
      <c r="N52" s="1"/>
      <c r="O52" s="1"/>
      <c r="P52" s="1"/>
      <c r="Q52" s="1"/>
      <c r="R52" s="7"/>
      <c r="S52" s="4"/>
      <c r="T52" s="4"/>
      <c r="U52" s="1"/>
      <c r="V52" s="1"/>
      <c r="W52" s="5"/>
      <c r="X52" s="5"/>
      <c r="Y52" s="5"/>
      <c r="Z52" s="1"/>
      <c r="AA52" s="1"/>
      <c r="AB52" s="1"/>
      <c r="AC52" s="1"/>
      <c r="AD52" s="1"/>
      <c r="AE52" s="1"/>
      <c r="AF52" s="1"/>
      <c r="AG52" s="1"/>
      <c r="AH52" s="1"/>
      <c r="AI52" s="1"/>
      <c r="AJ52" s="1"/>
      <c r="AK52" s="1"/>
      <c r="AL52" s="1"/>
      <c r="AM52" s="1"/>
      <c r="AN52" s="1"/>
      <c r="AO52" s="1"/>
      <c r="AP52" s="1"/>
      <c r="AQ52" s="1"/>
      <c r="AR52" s="1"/>
      <c r="AS52" s="1"/>
      <c r="AT52" s="1"/>
      <c r="AU52" s="1"/>
      <c r="AV52" s="1"/>
      <c r="AW52" s="1"/>
      <c r="AX52" s="1"/>
    </row>
    <row r="53" spans="1:50" ht="18" customHeight="1" x14ac:dyDescent="0.3">
      <c r="A53" s="1"/>
      <c r="B53" s="1"/>
      <c r="C53" s="42"/>
      <c r="D53" s="42"/>
      <c r="E53" s="42"/>
      <c r="F53" s="42"/>
      <c r="G53" s="42"/>
      <c r="H53" s="42"/>
      <c r="I53" s="42"/>
      <c r="J53" s="42"/>
      <c r="K53" s="42"/>
      <c r="L53" s="42"/>
      <c r="M53" s="42"/>
      <c r="N53" s="42"/>
      <c r="O53" s="42"/>
      <c r="P53" s="42"/>
      <c r="Q53" s="42"/>
      <c r="R53" s="7"/>
      <c r="S53" s="4"/>
      <c r="T53" s="4"/>
      <c r="U53" s="1"/>
      <c r="V53" s="1"/>
      <c r="W53" s="5"/>
      <c r="X53" s="5"/>
      <c r="Y53" s="5"/>
      <c r="Z53" s="1"/>
      <c r="AA53" s="1"/>
      <c r="AB53" s="1"/>
      <c r="AC53" s="1"/>
      <c r="AD53" s="1"/>
      <c r="AE53" s="1"/>
      <c r="AF53" s="1"/>
      <c r="AG53" s="1"/>
      <c r="AH53" s="1"/>
      <c r="AI53" s="1"/>
      <c r="AJ53" s="1"/>
      <c r="AK53" s="1"/>
      <c r="AL53" s="1"/>
      <c r="AM53" s="1"/>
      <c r="AN53" s="1"/>
      <c r="AO53" s="1"/>
      <c r="AP53" s="1"/>
      <c r="AQ53" s="1"/>
      <c r="AR53" s="1"/>
      <c r="AS53" s="1"/>
      <c r="AT53" s="1"/>
      <c r="AU53" s="1"/>
      <c r="AV53" s="1"/>
      <c r="AW53" s="1"/>
      <c r="AX53" s="1"/>
    </row>
    <row r="54" spans="1:50" ht="18" customHeight="1" x14ac:dyDescent="0.3">
      <c r="A54" s="1"/>
      <c r="B54" s="1"/>
      <c r="C54" s="42"/>
      <c r="D54" s="42"/>
      <c r="E54" s="42"/>
      <c r="F54" s="42"/>
      <c r="G54" s="42"/>
      <c r="H54" s="42"/>
      <c r="I54" s="42"/>
      <c r="J54" s="42"/>
      <c r="K54" s="42"/>
      <c r="L54" s="42"/>
      <c r="M54" s="42"/>
      <c r="N54" s="42"/>
      <c r="O54" s="42"/>
      <c r="P54" s="42"/>
      <c r="Q54" s="42"/>
      <c r="R54" s="7"/>
      <c r="S54" s="4"/>
      <c r="T54" s="4"/>
      <c r="U54" s="1"/>
      <c r="V54" s="1"/>
      <c r="W54" s="5"/>
      <c r="X54" s="5"/>
      <c r="Y54" s="5"/>
      <c r="Z54" s="1"/>
      <c r="AA54" s="1"/>
      <c r="AB54" s="1"/>
      <c r="AC54" s="1"/>
      <c r="AD54" s="1"/>
      <c r="AE54" s="1"/>
      <c r="AF54" s="1"/>
      <c r="AG54" s="1"/>
      <c r="AH54" s="1"/>
      <c r="AI54" s="1"/>
      <c r="AJ54" s="1"/>
      <c r="AK54" s="1"/>
      <c r="AL54" s="1"/>
      <c r="AM54" s="1"/>
      <c r="AN54" s="1"/>
      <c r="AO54" s="1"/>
      <c r="AP54" s="1"/>
      <c r="AQ54" s="1"/>
      <c r="AR54" s="1"/>
      <c r="AS54" s="1"/>
      <c r="AT54" s="1"/>
      <c r="AU54" s="1"/>
      <c r="AV54" s="1"/>
      <c r="AW54" s="1"/>
      <c r="AX54" s="1"/>
    </row>
    <row r="55" spans="1:50" ht="18" customHeight="1" x14ac:dyDescent="0.3">
      <c r="A55" s="1"/>
      <c r="B55" s="1"/>
      <c r="C55" s="42"/>
      <c r="D55" s="42"/>
      <c r="E55" s="42"/>
      <c r="F55" s="42"/>
      <c r="G55" s="42"/>
      <c r="H55" s="42"/>
      <c r="I55" s="42"/>
      <c r="J55" s="42"/>
      <c r="K55" s="42"/>
      <c r="L55" s="42"/>
      <c r="M55" s="42"/>
      <c r="N55" s="42"/>
      <c r="O55" s="42"/>
      <c r="P55" s="42"/>
      <c r="Q55" s="42"/>
      <c r="R55" s="7"/>
      <c r="S55" s="4"/>
      <c r="T55" s="4"/>
      <c r="U55" s="1"/>
      <c r="V55" s="1"/>
      <c r="W55" s="5"/>
      <c r="X55" s="5"/>
      <c r="Y55" s="5"/>
      <c r="Z55" s="1"/>
      <c r="AA55" s="1"/>
      <c r="AB55" s="1"/>
      <c r="AC55" s="1"/>
      <c r="AD55" s="1"/>
      <c r="AE55" s="1"/>
      <c r="AF55" s="1"/>
      <c r="AG55" s="1"/>
      <c r="AH55" s="1"/>
      <c r="AI55" s="1"/>
      <c r="AJ55" s="1"/>
      <c r="AK55" s="1"/>
      <c r="AL55" s="1"/>
      <c r="AM55" s="1"/>
      <c r="AN55" s="1"/>
      <c r="AO55" s="1"/>
      <c r="AP55" s="1"/>
      <c r="AQ55" s="1"/>
      <c r="AR55" s="1"/>
      <c r="AS55" s="1"/>
      <c r="AT55" s="1"/>
      <c r="AU55" s="1"/>
      <c r="AV55" s="1"/>
      <c r="AW55" s="1"/>
      <c r="AX55" s="1"/>
    </row>
    <row r="56" spans="1:50" ht="18" customHeight="1" x14ac:dyDescent="0.3">
      <c r="A56" s="1"/>
      <c r="B56" s="1"/>
      <c r="C56" s="42"/>
      <c r="D56" s="42"/>
      <c r="E56" s="42"/>
      <c r="F56" s="42"/>
      <c r="G56" s="42"/>
      <c r="H56" s="42"/>
      <c r="I56" s="42"/>
      <c r="J56" s="42"/>
      <c r="K56" s="42"/>
      <c r="L56" s="42"/>
      <c r="M56" s="42"/>
      <c r="N56" s="42"/>
      <c r="O56" s="42"/>
      <c r="P56" s="42"/>
      <c r="Q56" s="42"/>
      <c r="R56" s="7"/>
      <c r="S56" s="4"/>
      <c r="T56" s="4"/>
      <c r="U56" s="1"/>
      <c r="V56" s="1"/>
      <c r="W56" s="5"/>
      <c r="X56" s="5"/>
      <c r="Y56" s="5"/>
      <c r="Z56" s="1"/>
      <c r="AA56" s="1"/>
      <c r="AB56" s="1"/>
      <c r="AC56" s="1"/>
      <c r="AD56" s="1"/>
      <c r="AE56" s="1"/>
      <c r="AF56" s="1"/>
      <c r="AG56" s="1"/>
      <c r="AH56" s="1"/>
      <c r="AI56" s="1"/>
      <c r="AJ56" s="1"/>
      <c r="AK56" s="1"/>
      <c r="AL56" s="1"/>
      <c r="AM56" s="1"/>
      <c r="AN56" s="1"/>
      <c r="AO56" s="1"/>
      <c r="AP56" s="1"/>
      <c r="AQ56" s="1"/>
      <c r="AR56" s="1"/>
      <c r="AS56" s="1"/>
      <c r="AT56" s="1"/>
      <c r="AU56" s="1"/>
      <c r="AV56" s="1"/>
      <c r="AW56" s="1"/>
      <c r="AX56" s="1"/>
    </row>
    <row r="57" spans="1:50" ht="18" customHeight="1" x14ac:dyDescent="0.3">
      <c r="A57" s="1"/>
      <c r="B57" s="1"/>
      <c r="C57" s="42"/>
      <c r="D57" s="42"/>
      <c r="E57" s="42"/>
      <c r="F57" s="42"/>
      <c r="G57" s="42"/>
      <c r="H57" s="42"/>
      <c r="I57" s="42"/>
      <c r="J57" s="42"/>
      <c r="K57" s="42"/>
      <c r="L57" s="42"/>
      <c r="M57" s="42"/>
      <c r="N57" s="42"/>
      <c r="O57" s="42"/>
      <c r="P57" s="42"/>
      <c r="Q57" s="42"/>
      <c r="R57" s="7"/>
      <c r="S57" s="4"/>
      <c r="T57" s="4"/>
      <c r="U57" s="1"/>
      <c r="V57" s="1"/>
      <c r="W57" s="5"/>
      <c r="X57" s="5"/>
      <c r="Y57" s="5"/>
      <c r="Z57" s="1"/>
      <c r="AA57" s="1"/>
      <c r="AB57" s="1"/>
      <c r="AC57" s="1"/>
      <c r="AD57" s="1"/>
      <c r="AE57" s="1"/>
      <c r="AF57" s="1"/>
      <c r="AG57" s="1"/>
      <c r="AH57" s="1"/>
      <c r="AI57" s="1"/>
      <c r="AJ57" s="1"/>
      <c r="AK57" s="1"/>
      <c r="AL57" s="1"/>
      <c r="AM57" s="1"/>
      <c r="AN57" s="1"/>
      <c r="AO57" s="1"/>
      <c r="AP57" s="1"/>
      <c r="AQ57" s="1"/>
      <c r="AR57" s="1"/>
      <c r="AS57" s="1"/>
      <c r="AT57" s="1"/>
      <c r="AU57" s="1"/>
      <c r="AV57" s="1"/>
      <c r="AW57" s="1"/>
      <c r="AX57" s="1"/>
    </row>
    <row r="58" spans="1:50" ht="18" customHeight="1" x14ac:dyDescent="0.3">
      <c r="A58" s="1"/>
      <c r="B58" s="1"/>
      <c r="C58" s="1"/>
      <c r="D58" s="1"/>
      <c r="E58" s="1"/>
      <c r="F58" s="1"/>
      <c r="G58" s="1"/>
      <c r="H58" s="1"/>
      <c r="I58" s="1"/>
      <c r="J58" s="1"/>
      <c r="K58" s="1"/>
      <c r="L58" s="1"/>
      <c r="M58" s="1"/>
      <c r="N58" s="1"/>
      <c r="O58" s="1"/>
      <c r="P58" s="1"/>
      <c r="Q58" s="1"/>
      <c r="R58" s="7"/>
      <c r="S58" s="4"/>
      <c r="T58" s="4"/>
      <c r="U58" s="1"/>
      <c r="V58" s="1"/>
      <c r="W58" s="5"/>
      <c r="X58" s="5"/>
      <c r="Y58" s="5"/>
      <c r="Z58" s="1"/>
      <c r="AA58" s="1"/>
      <c r="AB58" s="1"/>
      <c r="AC58" s="1"/>
      <c r="AD58" s="1"/>
      <c r="AE58" s="1"/>
      <c r="AF58" s="1"/>
      <c r="AG58" s="1"/>
      <c r="AH58" s="1"/>
      <c r="AI58" s="1"/>
      <c r="AJ58" s="1"/>
      <c r="AK58" s="1"/>
      <c r="AL58" s="1"/>
      <c r="AM58" s="1"/>
      <c r="AN58" s="1"/>
      <c r="AO58" s="1"/>
      <c r="AP58" s="1"/>
      <c r="AQ58" s="1"/>
      <c r="AR58" s="1"/>
      <c r="AS58" s="1"/>
      <c r="AT58" s="1"/>
      <c r="AU58" s="1"/>
      <c r="AV58" s="1"/>
      <c r="AW58" s="1"/>
      <c r="AX58" s="1"/>
    </row>
    <row r="59" spans="1:50" ht="18" customHeight="1" x14ac:dyDescent="0.3">
      <c r="A59" s="1"/>
      <c r="B59" s="1"/>
      <c r="C59" s="1"/>
      <c r="D59" s="1"/>
      <c r="E59" s="1"/>
      <c r="F59" s="1"/>
      <c r="G59" s="1"/>
      <c r="H59" s="1"/>
      <c r="I59" s="1"/>
      <c r="J59" s="1"/>
      <c r="K59" s="1"/>
      <c r="L59" s="1"/>
      <c r="M59" s="1"/>
      <c r="N59" s="1"/>
      <c r="O59" s="1"/>
      <c r="P59" s="1"/>
      <c r="Q59" s="1"/>
      <c r="R59" s="7"/>
      <c r="S59" s="4"/>
      <c r="T59" s="4"/>
      <c r="U59" s="1"/>
      <c r="V59" s="1"/>
      <c r="W59" s="5"/>
      <c r="X59" s="5"/>
      <c r="Y59" s="5"/>
      <c r="Z59" s="1"/>
      <c r="AA59" s="1"/>
      <c r="AB59" s="1"/>
      <c r="AC59" s="1"/>
      <c r="AD59" s="1"/>
      <c r="AE59" s="1"/>
      <c r="AF59" s="1"/>
      <c r="AG59" s="1"/>
      <c r="AH59" s="1"/>
      <c r="AI59" s="1"/>
      <c r="AJ59" s="1"/>
      <c r="AK59" s="1"/>
      <c r="AL59" s="1"/>
      <c r="AM59" s="1"/>
      <c r="AN59" s="1"/>
      <c r="AO59" s="1"/>
      <c r="AP59" s="1"/>
      <c r="AQ59" s="1"/>
      <c r="AR59" s="1"/>
      <c r="AS59" s="1"/>
      <c r="AT59" s="1"/>
      <c r="AU59" s="1"/>
      <c r="AV59" s="1"/>
      <c r="AW59" s="1"/>
      <c r="AX59" s="1"/>
    </row>
    <row r="60" spans="1:50" ht="18" customHeight="1" x14ac:dyDescent="0.3">
      <c r="A60" s="1"/>
      <c r="B60" s="1"/>
      <c r="C60" s="1"/>
      <c r="D60" s="1"/>
      <c r="E60" s="1"/>
      <c r="F60" s="1"/>
      <c r="G60" s="1"/>
      <c r="H60" s="1"/>
      <c r="I60" s="1"/>
      <c r="J60" s="1"/>
      <c r="K60" s="1"/>
      <c r="L60" s="1"/>
      <c r="M60" s="1"/>
      <c r="N60" s="1"/>
      <c r="O60" s="1"/>
      <c r="P60" s="1"/>
      <c r="Q60" s="1"/>
      <c r="R60" s="7"/>
      <c r="S60" s="4"/>
      <c r="T60" s="4"/>
      <c r="U60" s="1"/>
      <c r="V60" s="1"/>
      <c r="W60" s="5"/>
      <c r="X60" s="5"/>
      <c r="Y60" s="5"/>
      <c r="Z60" s="1"/>
      <c r="AA60" s="1"/>
      <c r="AB60" s="1"/>
      <c r="AC60" s="1"/>
      <c r="AD60" s="1"/>
      <c r="AE60" s="1"/>
      <c r="AF60" s="1"/>
      <c r="AG60" s="1"/>
      <c r="AH60" s="1"/>
      <c r="AI60" s="1"/>
      <c r="AJ60" s="1"/>
      <c r="AK60" s="1"/>
      <c r="AL60" s="1"/>
      <c r="AM60" s="1"/>
      <c r="AN60" s="1"/>
      <c r="AO60" s="1"/>
      <c r="AP60" s="1"/>
      <c r="AQ60" s="1"/>
      <c r="AR60" s="1"/>
      <c r="AS60" s="1"/>
      <c r="AT60" s="1"/>
      <c r="AU60" s="1"/>
      <c r="AV60" s="1"/>
      <c r="AW60" s="1"/>
      <c r="AX60" s="1"/>
    </row>
    <row r="61" spans="1:50" ht="18" customHeight="1" x14ac:dyDescent="0.3">
      <c r="A61" s="1"/>
      <c r="B61" s="1"/>
      <c r="C61" s="1"/>
      <c r="D61" s="1"/>
      <c r="E61" s="1"/>
      <c r="F61" s="1"/>
      <c r="G61" s="1"/>
      <c r="H61" s="1"/>
      <c r="I61" s="1"/>
      <c r="J61" s="1"/>
      <c r="K61" s="1"/>
      <c r="L61" s="1"/>
      <c r="M61" s="1"/>
      <c r="N61" s="1"/>
      <c r="O61" s="1"/>
      <c r="P61" s="1"/>
      <c r="Q61" s="1"/>
      <c r="R61" s="7"/>
      <c r="S61" s="4"/>
      <c r="T61" s="4"/>
      <c r="U61" s="1"/>
      <c r="V61" s="1"/>
      <c r="W61" s="5"/>
      <c r="X61" s="5"/>
      <c r="Y61" s="5"/>
      <c r="Z61" s="1"/>
      <c r="AA61" s="1"/>
      <c r="AB61" s="1"/>
      <c r="AC61" s="1"/>
      <c r="AD61" s="1"/>
      <c r="AE61" s="1"/>
      <c r="AF61" s="1"/>
      <c r="AG61" s="1"/>
      <c r="AH61" s="1"/>
      <c r="AI61" s="1"/>
      <c r="AJ61" s="1"/>
      <c r="AK61" s="1"/>
      <c r="AL61" s="1"/>
      <c r="AM61" s="1"/>
      <c r="AN61" s="1"/>
      <c r="AO61" s="1"/>
      <c r="AP61" s="1"/>
      <c r="AQ61" s="1"/>
      <c r="AR61" s="1"/>
      <c r="AS61" s="1"/>
      <c r="AT61" s="1"/>
      <c r="AU61" s="1"/>
      <c r="AV61" s="1"/>
      <c r="AW61" s="1"/>
      <c r="AX61" s="1"/>
    </row>
    <row r="62" spans="1:50" ht="18" customHeight="1" x14ac:dyDescent="0.3">
      <c r="A62" s="1"/>
      <c r="B62" s="1"/>
      <c r="C62" s="1"/>
      <c r="D62" s="1"/>
      <c r="E62" s="1"/>
      <c r="F62" s="1"/>
      <c r="G62" s="1"/>
      <c r="H62" s="1"/>
      <c r="I62" s="1"/>
      <c r="J62" s="1"/>
      <c r="K62" s="1"/>
      <c r="L62" s="1"/>
      <c r="M62" s="1"/>
      <c r="N62" s="1"/>
      <c r="O62" s="1"/>
      <c r="P62" s="1"/>
      <c r="Q62" s="1"/>
      <c r="R62" s="7"/>
      <c r="S62" s="4"/>
      <c r="T62" s="4"/>
      <c r="U62" s="1"/>
      <c r="V62" s="1"/>
      <c r="W62" s="5"/>
      <c r="X62" s="5"/>
      <c r="Y62" s="5"/>
      <c r="Z62" s="1"/>
      <c r="AA62" s="1"/>
      <c r="AB62" s="1"/>
      <c r="AC62" s="1"/>
      <c r="AD62" s="1"/>
      <c r="AE62" s="1"/>
      <c r="AF62" s="1"/>
      <c r="AG62" s="1"/>
      <c r="AH62" s="1"/>
      <c r="AI62" s="1"/>
      <c r="AJ62" s="1"/>
      <c r="AK62" s="1"/>
      <c r="AL62" s="1"/>
      <c r="AM62" s="1"/>
      <c r="AN62" s="1"/>
      <c r="AO62" s="1"/>
      <c r="AP62" s="1"/>
      <c r="AQ62" s="1"/>
      <c r="AR62" s="1"/>
      <c r="AS62" s="1"/>
      <c r="AT62" s="1"/>
      <c r="AU62" s="1"/>
      <c r="AV62" s="1"/>
      <c r="AW62" s="1"/>
      <c r="AX62" s="1"/>
    </row>
    <row r="63" spans="1:50" ht="18" customHeight="1" x14ac:dyDescent="0.3">
      <c r="A63" s="1"/>
      <c r="B63" s="1"/>
      <c r="C63" s="1"/>
      <c r="D63" s="1"/>
      <c r="E63" s="1"/>
      <c r="F63" s="1"/>
      <c r="G63" s="1"/>
      <c r="H63" s="1"/>
      <c r="I63" s="1"/>
      <c r="J63" s="1"/>
      <c r="K63" s="1"/>
      <c r="L63" s="1"/>
      <c r="M63" s="1"/>
      <c r="N63" s="1"/>
      <c r="O63" s="1"/>
      <c r="P63" s="1"/>
      <c r="Q63" s="1"/>
      <c r="R63" s="7"/>
      <c r="S63" s="4"/>
      <c r="T63" s="4"/>
      <c r="U63" s="1"/>
      <c r="V63" s="1"/>
      <c r="W63" s="5"/>
      <c r="X63" s="5"/>
      <c r="Y63" s="5"/>
      <c r="Z63" s="1"/>
      <c r="AA63" s="1"/>
      <c r="AB63" s="1"/>
      <c r="AC63" s="1"/>
      <c r="AD63" s="1"/>
      <c r="AE63" s="1"/>
      <c r="AF63" s="1"/>
      <c r="AG63" s="1"/>
      <c r="AH63" s="1"/>
      <c r="AI63" s="1"/>
      <c r="AJ63" s="1"/>
      <c r="AK63" s="1"/>
      <c r="AL63" s="1"/>
      <c r="AM63" s="1"/>
      <c r="AN63" s="1"/>
      <c r="AO63" s="1"/>
      <c r="AP63" s="1"/>
      <c r="AQ63" s="1"/>
      <c r="AR63" s="1"/>
      <c r="AS63" s="1"/>
      <c r="AT63" s="1"/>
      <c r="AU63" s="1"/>
      <c r="AV63" s="1"/>
      <c r="AW63" s="1"/>
      <c r="AX63" s="1"/>
    </row>
    <row r="64" spans="1:50" ht="18" customHeight="1" x14ac:dyDescent="0.3">
      <c r="A64" s="1"/>
      <c r="B64" s="1"/>
      <c r="C64" s="1"/>
      <c r="D64" s="1"/>
      <c r="E64" s="1"/>
      <c r="F64" s="1"/>
      <c r="G64" s="1"/>
      <c r="H64" s="1"/>
      <c r="I64" s="1"/>
      <c r="J64" s="1"/>
      <c r="K64" s="1"/>
      <c r="L64" s="1"/>
      <c r="M64" s="1"/>
      <c r="N64" s="1"/>
      <c r="O64" s="1"/>
      <c r="P64" s="1"/>
      <c r="Q64" s="1"/>
      <c r="R64" s="7"/>
      <c r="S64" s="4"/>
      <c r="T64" s="4"/>
      <c r="U64" s="1"/>
      <c r="V64" s="1"/>
      <c r="W64" s="5"/>
      <c r="X64" s="5"/>
      <c r="Y64" s="5"/>
      <c r="Z64" s="1"/>
      <c r="AA64" s="1"/>
      <c r="AB64" s="1"/>
      <c r="AC64" s="1"/>
      <c r="AD64" s="1"/>
      <c r="AE64" s="1"/>
      <c r="AF64" s="1"/>
      <c r="AG64" s="1"/>
      <c r="AH64" s="1"/>
      <c r="AI64" s="1"/>
      <c r="AJ64" s="1"/>
      <c r="AK64" s="1"/>
      <c r="AL64" s="1"/>
      <c r="AM64" s="1"/>
      <c r="AN64" s="1"/>
      <c r="AO64" s="1"/>
      <c r="AP64" s="1"/>
      <c r="AQ64" s="1"/>
      <c r="AR64" s="1"/>
      <c r="AS64" s="1"/>
      <c r="AT64" s="1"/>
      <c r="AU64" s="1"/>
      <c r="AV64" s="1"/>
      <c r="AW64" s="1"/>
      <c r="AX64" s="1"/>
    </row>
    <row r="65" spans="1:50" ht="18" customHeight="1" collapsed="1" x14ac:dyDescent="0.3">
      <c r="A65" s="1"/>
      <c r="B65" s="1"/>
      <c r="C65" s="1"/>
      <c r="D65" s="1"/>
      <c r="E65" s="1"/>
      <c r="F65" s="1"/>
      <c r="G65" s="1"/>
      <c r="H65" s="1"/>
      <c r="I65" s="1"/>
      <c r="J65" s="1"/>
      <c r="K65" s="1"/>
      <c r="L65" s="1"/>
      <c r="M65" s="1"/>
      <c r="N65" s="1"/>
      <c r="O65" s="1"/>
      <c r="P65" s="1"/>
      <c r="Q65" s="1"/>
      <c r="R65" s="7"/>
      <c r="S65" s="7"/>
      <c r="T65" s="7"/>
      <c r="U65" s="4"/>
      <c r="V65" s="4"/>
      <c r="W65" s="1"/>
      <c r="X65" s="1"/>
      <c r="Y65" s="5"/>
      <c r="Z65" s="5"/>
      <c r="AA65" s="5"/>
      <c r="AB65" s="1"/>
      <c r="AC65" s="1"/>
      <c r="AD65" s="1"/>
      <c r="AE65" s="1"/>
      <c r="AF65" s="1"/>
      <c r="AG65" s="1"/>
      <c r="AH65" s="1"/>
      <c r="AI65" s="1"/>
      <c r="AJ65" s="1"/>
      <c r="AK65" s="1"/>
      <c r="AL65" s="1"/>
      <c r="AM65" s="1"/>
      <c r="AN65" s="1"/>
      <c r="AO65" s="1"/>
      <c r="AP65" s="1"/>
      <c r="AQ65" s="1"/>
      <c r="AR65" s="1"/>
      <c r="AS65" s="1"/>
      <c r="AT65" s="1"/>
      <c r="AU65" s="1"/>
      <c r="AV65" s="1"/>
      <c r="AW65" s="1"/>
      <c r="AX65" s="1"/>
    </row>
    <row r="66" spans="1:50" ht="18" customHeight="1" x14ac:dyDescent="0.3">
      <c r="A66" s="1"/>
      <c r="B66" s="1"/>
      <c r="C66" s="1"/>
      <c r="D66" s="1"/>
      <c r="E66" s="1"/>
      <c r="F66" s="1"/>
      <c r="G66" s="1"/>
      <c r="H66" s="1"/>
      <c r="I66" s="1"/>
      <c r="J66" s="1"/>
      <c r="K66" s="1"/>
      <c r="L66" s="1"/>
      <c r="M66" s="1"/>
      <c r="N66" s="1"/>
      <c r="O66" s="1"/>
      <c r="P66" s="1"/>
      <c r="Q66" s="1"/>
      <c r="R66" s="7"/>
      <c r="S66" s="7"/>
      <c r="T66" s="7"/>
      <c r="U66" s="4"/>
      <c r="V66" s="4"/>
      <c r="W66" s="1"/>
      <c r="X66" s="1"/>
      <c r="Y66" s="5"/>
      <c r="Z66" s="5"/>
      <c r="AA66" s="5"/>
      <c r="AB66" s="1"/>
      <c r="AC66" s="1"/>
      <c r="AD66" s="1"/>
      <c r="AE66" s="1"/>
      <c r="AF66" s="1"/>
      <c r="AG66" s="1"/>
      <c r="AH66" s="1"/>
      <c r="AI66" s="1"/>
      <c r="AJ66" s="1"/>
      <c r="AK66" s="1"/>
      <c r="AL66" s="1"/>
      <c r="AM66" s="1"/>
      <c r="AN66" s="1"/>
      <c r="AO66" s="1"/>
      <c r="AP66" s="1"/>
      <c r="AQ66" s="1"/>
      <c r="AR66" s="1"/>
      <c r="AS66" s="1"/>
      <c r="AT66" s="1"/>
      <c r="AU66" s="1"/>
      <c r="AV66" s="1"/>
      <c r="AW66" s="1"/>
      <c r="AX66" s="1"/>
    </row>
    <row r="67" spans="1:50" ht="18" customHeight="1" x14ac:dyDescent="0.3">
      <c r="A67" s="1"/>
      <c r="B67" s="1"/>
      <c r="C67" s="1"/>
      <c r="D67" s="1"/>
      <c r="E67" s="1"/>
      <c r="F67" s="1"/>
      <c r="G67" s="1"/>
      <c r="H67" s="1"/>
      <c r="I67" s="1"/>
      <c r="J67" s="1"/>
      <c r="K67" s="1"/>
      <c r="L67" s="1"/>
      <c r="M67" s="1"/>
      <c r="N67" s="1"/>
      <c r="O67" s="1"/>
      <c r="P67" s="1"/>
      <c r="Q67" s="1"/>
      <c r="R67" s="2"/>
      <c r="S67" s="2"/>
      <c r="T67" s="2"/>
      <c r="U67" s="1"/>
      <c r="V67" s="1"/>
      <c r="W67" s="1"/>
      <c r="X67" s="1"/>
      <c r="Y67" s="5"/>
      <c r="Z67" s="5"/>
      <c r="AA67" s="5"/>
      <c r="AB67" s="1"/>
      <c r="AC67" s="1"/>
      <c r="AD67" s="1"/>
      <c r="AE67" s="1"/>
      <c r="AF67" s="1"/>
      <c r="AG67" s="1"/>
      <c r="AH67" s="1"/>
      <c r="AI67" s="1"/>
      <c r="AJ67" s="1"/>
      <c r="AK67" s="1"/>
      <c r="AL67" s="1"/>
      <c r="AM67" s="1"/>
      <c r="AN67" s="1"/>
      <c r="AO67" s="1"/>
      <c r="AP67" s="1"/>
      <c r="AQ67" s="1"/>
      <c r="AR67" s="1"/>
      <c r="AS67" s="1"/>
      <c r="AT67" s="1"/>
      <c r="AU67" s="1"/>
      <c r="AV67" s="1"/>
      <c r="AW67" s="1"/>
      <c r="AX67" s="1"/>
    </row>
    <row r="68" spans="1:50" ht="18" customHeight="1" x14ac:dyDescent="0.3">
      <c r="A68" s="1"/>
      <c r="B68" s="1"/>
      <c r="C68" s="1"/>
      <c r="D68" s="1"/>
      <c r="E68" s="1"/>
      <c r="F68" s="1"/>
      <c r="G68" s="1"/>
      <c r="H68" s="1"/>
      <c r="I68" s="1"/>
      <c r="J68" s="1"/>
      <c r="K68" s="1"/>
      <c r="L68" s="1"/>
      <c r="M68" s="1"/>
      <c r="N68" s="1"/>
      <c r="O68" s="1"/>
      <c r="P68" s="1"/>
      <c r="Q68" s="1"/>
      <c r="R68" s="2"/>
      <c r="S68" s="2"/>
      <c r="T68" s="2"/>
      <c r="U68" s="1"/>
      <c r="V68" s="1"/>
      <c r="W68" s="1"/>
      <c r="X68" s="1"/>
      <c r="Y68" s="5"/>
      <c r="Z68" s="5"/>
      <c r="AA68" s="5"/>
      <c r="AB68" s="1"/>
      <c r="AC68" s="1"/>
      <c r="AD68" s="1"/>
      <c r="AE68" s="1"/>
      <c r="AF68" s="1"/>
      <c r="AG68" s="1"/>
      <c r="AH68" s="1"/>
      <c r="AI68" s="1"/>
      <c r="AJ68" s="1"/>
      <c r="AK68" s="1"/>
      <c r="AL68" s="1"/>
      <c r="AM68" s="1"/>
      <c r="AN68" s="1"/>
      <c r="AO68" s="1"/>
      <c r="AP68" s="1"/>
      <c r="AQ68" s="1"/>
      <c r="AR68" s="1"/>
      <c r="AS68" s="1"/>
      <c r="AT68" s="1"/>
      <c r="AU68" s="1"/>
      <c r="AV68" s="1"/>
      <c r="AW68" s="1"/>
      <c r="AX68" s="1"/>
    </row>
    <row r="69" spans="1:50" ht="18" customHeight="1" x14ac:dyDescent="0.3">
      <c r="A69" s="1"/>
      <c r="B69" s="1"/>
      <c r="C69" s="1"/>
      <c r="D69" s="1"/>
      <c r="E69" s="1"/>
      <c r="F69" s="1"/>
      <c r="G69" s="1"/>
      <c r="H69" s="1"/>
      <c r="I69" s="1"/>
      <c r="J69" s="1"/>
      <c r="K69" s="1"/>
      <c r="L69" s="1"/>
      <c r="M69" s="1"/>
      <c r="N69" s="1"/>
      <c r="O69" s="1"/>
      <c r="P69" s="1"/>
      <c r="Q69" s="1"/>
      <c r="R69" s="2"/>
      <c r="S69" s="2"/>
      <c r="T69" s="2"/>
      <c r="U69" s="1"/>
      <c r="V69" s="1"/>
      <c r="W69" s="1"/>
      <c r="X69" s="1"/>
      <c r="Y69" s="5"/>
      <c r="Z69" s="5"/>
      <c r="AA69" s="5"/>
      <c r="AB69" s="1"/>
      <c r="AC69" s="1"/>
      <c r="AD69" s="1"/>
      <c r="AE69" s="1"/>
      <c r="AF69" s="1"/>
      <c r="AG69" s="1"/>
      <c r="AH69" s="1"/>
      <c r="AI69" s="1"/>
      <c r="AJ69" s="1"/>
      <c r="AK69" s="1"/>
      <c r="AL69" s="1"/>
      <c r="AM69" s="1"/>
      <c r="AN69" s="1"/>
      <c r="AO69" s="1"/>
      <c r="AP69" s="1"/>
      <c r="AQ69" s="1"/>
      <c r="AR69" s="1"/>
      <c r="AS69" s="1"/>
      <c r="AT69" s="1"/>
      <c r="AU69" s="1"/>
      <c r="AV69" s="1"/>
      <c r="AW69" s="1"/>
      <c r="AX69" s="1"/>
    </row>
    <row r="70" spans="1:50" ht="18" hidden="1" customHeight="1" x14ac:dyDescent="0.3">
      <c r="A70" s="1"/>
      <c r="B70" s="1"/>
      <c r="C70" s="1"/>
      <c r="D70" s="1"/>
      <c r="E70" s="1"/>
      <c r="F70" s="1"/>
      <c r="G70" s="1"/>
      <c r="H70" s="1"/>
      <c r="I70" s="1"/>
      <c r="J70" s="1"/>
      <c r="K70" s="1"/>
      <c r="L70" s="1"/>
      <c r="M70" s="1"/>
      <c r="N70" s="1"/>
      <c r="O70" s="1"/>
      <c r="P70" s="1"/>
      <c r="Q70" s="1"/>
      <c r="R70" s="2"/>
      <c r="S70" s="2"/>
      <c r="T70" s="2"/>
      <c r="U70" s="1"/>
      <c r="V70" s="1"/>
      <c r="W70" s="1"/>
      <c r="X70" s="1"/>
      <c r="Y70" s="5"/>
      <c r="Z70" s="5"/>
      <c r="AA70" s="5"/>
      <c r="AB70" s="1"/>
      <c r="AC70" s="1"/>
      <c r="AD70" s="1"/>
      <c r="AE70" s="1"/>
      <c r="AF70" s="1"/>
      <c r="AG70" s="1"/>
      <c r="AH70" s="1"/>
      <c r="AI70" s="1"/>
      <c r="AJ70" s="1"/>
      <c r="AK70" s="1"/>
      <c r="AL70" s="1"/>
      <c r="AM70" s="1"/>
      <c r="AN70" s="1"/>
      <c r="AO70" s="1"/>
      <c r="AP70" s="1"/>
      <c r="AQ70" s="1"/>
      <c r="AR70" s="1"/>
      <c r="AS70" s="1"/>
      <c r="AT70" s="1"/>
      <c r="AU70" s="1"/>
      <c r="AV70" s="1"/>
      <c r="AW70" s="1"/>
      <c r="AX70" s="1"/>
    </row>
    <row r="71" spans="1:50" ht="18" hidden="1" customHeight="1" x14ac:dyDescent="0.3">
      <c r="A71" s="1"/>
      <c r="B71" s="1"/>
      <c r="C71" s="1"/>
      <c r="D71" s="1"/>
      <c r="E71" s="1"/>
      <c r="F71" s="1"/>
      <c r="G71" s="1"/>
      <c r="H71" s="1"/>
      <c r="I71" s="1"/>
      <c r="J71" s="1"/>
      <c r="K71" s="1"/>
      <c r="L71" s="1"/>
      <c r="M71" s="1"/>
      <c r="N71" s="1"/>
      <c r="O71" s="1"/>
      <c r="P71" s="1"/>
      <c r="Q71" s="1"/>
      <c r="R71" s="2"/>
      <c r="S71" s="2"/>
      <c r="T71" s="2"/>
      <c r="U71" s="1"/>
      <c r="V71" s="1"/>
      <c r="W71" s="1"/>
      <c r="X71" s="1"/>
      <c r="Y71" s="5"/>
      <c r="Z71" s="5"/>
      <c r="AA71" s="5"/>
      <c r="AB71" s="1"/>
      <c r="AC71" s="1"/>
      <c r="AD71" s="1"/>
      <c r="AE71" s="1"/>
      <c r="AF71" s="1"/>
      <c r="AG71" s="1"/>
      <c r="AH71" s="1"/>
      <c r="AI71" s="1"/>
      <c r="AJ71" s="1"/>
      <c r="AK71" s="1"/>
      <c r="AL71" s="1"/>
      <c r="AM71" s="1"/>
      <c r="AN71" s="1"/>
      <c r="AO71" s="1"/>
      <c r="AP71" s="1"/>
      <c r="AQ71" s="1"/>
      <c r="AR71" s="1"/>
      <c r="AS71" s="1"/>
      <c r="AT71" s="1"/>
      <c r="AU71" s="1"/>
      <c r="AV71" s="1"/>
      <c r="AW71" s="1"/>
      <c r="AX71" s="1"/>
    </row>
    <row r="72" spans="1:50" ht="18" hidden="1" customHeight="1" x14ac:dyDescent="0.3">
      <c r="A72" s="1"/>
      <c r="B72" s="1"/>
      <c r="C72" s="1"/>
      <c r="D72" s="1"/>
      <c r="E72" s="1"/>
      <c r="F72" s="1"/>
      <c r="G72" s="1"/>
      <c r="H72" s="1"/>
      <c r="I72" s="1"/>
      <c r="J72" s="1"/>
      <c r="K72" s="1"/>
      <c r="L72" s="1"/>
      <c r="M72" s="1"/>
      <c r="N72" s="1"/>
      <c r="O72" s="1"/>
      <c r="P72" s="1"/>
      <c r="Q72" s="1"/>
      <c r="R72" s="2"/>
      <c r="S72" s="2"/>
      <c r="T72" s="2"/>
      <c r="U72" s="1"/>
      <c r="V72" s="1"/>
      <c r="W72" s="1"/>
      <c r="X72" s="1"/>
      <c r="Y72" s="5"/>
      <c r="Z72" s="5"/>
      <c r="AA72" s="5"/>
      <c r="AB72" s="1"/>
      <c r="AC72" s="1"/>
      <c r="AD72" s="1"/>
      <c r="AE72" s="1"/>
      <c r="AF72" s="1"/>
      <c r="AG72" s="1"/>
      <c r="AH72" s="1"/>
      <c r="AI72" s="1"/>
      <c r="AJ72" s="1"/>
      <c r="AK72" s="1"/>
      <c r="AL72" s="1"/>
      <c r="AM72" s="1"/>
      <c r="AN72" s="1"/>
      <c r="AO72" s="1"/>
      <c r="AP72" s="1"/>
      <c r="AQ72" s="1"/>
      <c r="AR72" s="1"/>
      <c r="AS72" s="1"/>
      <c r="AT72" s="1"/>
      <c r="AU72" s="1"/>
      <c r="AV72" s="1"/>
      <c r="AW72" s="1"/>
      <c r="AX72" s="1"/>
    </row>
    <row r="73" spans="1:50" ht="18" hidden="1" customHeight="1" x14ac:dyDescent="0.3">
      <c r="A73" s="1"/>
      <c r="B73" s="1"/>
      <c r="C73" s="1"/>
      <c r="D73" s="1"/>
      <c r="E73" s="1"/>
      <c r="F73" s="1"/>
      <c r="G73" s="1"/>
      <c r="H73" s="1"/>
      <c r="I73" s="1"/>
      <c r="J73" s="1"/>
      <c r="K73" s="1"/>
      <c r="L73" s="1"/>
      <c r="M73" s="1"/>
      <c r="N73" s="1"/>
      <c r="O73" s="1"/>
      <c r="P73" s="1"/>
      <c r="Q73" s="1"/>
      <c r="R73" s="2"/>
      <c r="S73" s="2"/>
      <c r="T73" s="2"/>
      <c r="U73" s="1"/>
      <c r="V73" s="1"/>
      <c r="W73" s="1"/>
      <c r="X73" s="1"/>
      <c r="Y73" s="5"/>
      <c r="Z73" s="5"/>
      <c r="AA73" s="5"/>
      <c r="AB73" s="1"/>
      <c r="AC73" s="1"/>
      <c r="AD73" s="1"/>
      <c r="AE73" s="1"/>
      <c r="AF73" s="1"/>
      <c r="AG73" s="1"/>
      <c r="AH73" s="1"/>
      <c r="AI73" s="1"/>
      <c r="AJ73" s="1"/>
      <c r="AK73" s="1"/>
      <c r="AL73" s="1"/>
      <c r="AM73" s="1"/>
      <c r="AN73" s="1"/>
      <c r="AO73" s="1"/>
      <c r="AP73" s="1"/>
      <c r="AQ73" s="1"/>
      <c r="AR73" s="1"/>
      <c r="AS73" s="1"/>
      <c r="AT73" s="1"/>
      <c r="AU73" s="1"/>
      <c r="AV73" s="1"/>
      <c r="AW73" s="1"/>
      <c r="AX73" s="1"/>
    </row>
    <row r="74" spans="1:50" ht="18" hidden="1" customHeight="1" x14ac:dyDescent="0.3">
      <c r="A74" s="1"/>
      <c r="B74" s="1"/>
      <c r="C74" s="1"/>
      <c r="D74" s="1"/>
      <c r="E74" s="1"/>
      <c r="F74" s="1"/>
      <c r="G74" s="1"/>
      <c r="H74" s="1"/>
      <c r="I74" s="1"/>
      <c r="J74" s="1"/>
      <c r="K74" s="1"/>
      <c r="L74" s="1"/>
      <c r="M74" s="1"/>
      <c r="N74" s="1"/>
      <c r="O74" s="1"/>
      <c r="P74" s="1"/>
      <c r="Q74" s="1"/>
      <c r="R74" s="2"/>
      <c r="S74" s="2"/>
      <c r="T74" s="2"/>
      <c r="U74" s="1"/>
      <c r="V74" s="1"/>
      <c r="W74" s="1"/>
      <c r="X74" s="1"/>
      <c r="Y74" s="5"/>
      <c r="Z74" s="5"/>
      <c r="AA74" s="5"/>
      <c r="AB74" s="1"/>
      <c r="AC74" s="1"/>
      <c r="AD74" s="1"/>
      <c r="AE74" s="1"/>
      <c r="AF74" s="1"/>
      <c r="AG74" s="1"/>
      <c r="AH74" s="1"/>
      <c r="AI74" s="1"/>
      <c r="AJ74" s="1"/>
      <c r="AK74" s="1"/>
      <c r="AL74" s="1"/>
      <c r="AM74" s="1"/>
      <c r="AN74" s="1"/>
      <c r="AO74" s="1"/>
      <c r="AP74" s="1"/>
      <c r="AQ74" s="1"/>
      <c r="AR74" s="1"/>
      <c r="AS74" s="1"/>
      <c r="AT74" s="1"/>
      <c r="AU74" s="1"/>
      <c r="AV74" s="1"/>
      <c r="AW74" s="1"/>
      <c r="AX74" s="1"/>
    </row>
    <row r="75" spans="1:50" ht="18" hidden="1" customHeight="1" x14ac:dyDescent="0.3">
      <c r="A75" s="1"/>
      <c r="B75" s="1"/>
      <c r="C75" s="1"/>
      <c r="D75" s="1"/>
      <c r="E75" s="1"/>
      <c r="F75" s="1"/>
      <c r="G75" s="1"/>
      <c r="H75" s="1"/>
      <c r="I75" s="1"/>
      <c r="J75" s="1"/>
      <c r="K75" s="1"/>
      <c r="L75" s="1"/>
      <c r="M75" s="1"/>
      <c r="N75" s="1"/>
      <c r="O75" s="1"/>
      <c r="P75" s="1"/>
      <c r="Q75" s="1"/>
      <c r="R75" s="2"/>
      <c r="S75" s="2"/>
      <c r="T75" s="2"/>
      <c r="U75" s="1"/>
      <c r="V75" s="1"/>
      <c r="W75" s="1"/>
      <c r="X75" s="1"/>
      <c r="Y75" s="5"/>
      <c r="Z75" s="5"/>
      <c r="AA75" s="5"/>
      <c r="AB75" s="1"/>
      <c r="AC75" s="1"/>
      <c r="AD75" s="1"/>
      <c r="AE75" s="1"/>
      <c r="AF75" s="1"/>
      <c r="AG75" s="1"/>
      <c r="AH75" s="1"/>
      <c r="AI75" s="1"/>
      <c r="AJ75" s="1"/>
      <c r="AK75" s="1"/>
      <c r="AL75" s="1"/>
      <c r="AM75" s="1"/>
      <c r="AN75" s="1"/>
      <c r="AO75" s="1"/>
      <c r="AP75" s="1"/>
      <c r="AQ75" s="1"/>
      <c r="AR75" s="1"/>
      <c r="AS75" s="1"/>
      <c r="AT75" s="1"/>
      <c r="AU75" s="1"/>
      <c r="AV75" s="1"/>
      <c r="AW75" s="1"/>
      <c r="AX75" s="1"/>
    </row>
    <row r="76" spans="1:50" ht="18" hidden="1" customHeight="1" x14ac:dyDescent="0.3">
      <c r="A76" s="1"/>
      <c r="B76" s="1"/>
      <c r="C76" s="1"/>
      <c r="D76" s="1"/>
      <c r="E76" s="1"/>
      <c r="F76" s="1"/>
      <c r="G76" s="1"/>
      <c r="H76" s="1"/>
      <c r="I76" s="1"/>
      <c r="J76" s="1"/>
      <c r="K76" s="1"/>
      <c r="L76" s="1"/>
      <c r="M76" s="1"/>
      <c r="N76" s="1"/>
      <c r="O76" s="1"/>
      <c r="P76" s="1"/>
      <c r="Q76" s="1"/>
      <c r="R76" s="2"/>
      <c r="S76" s="2"/>
      <c r="T76" s="2"/>
      <c r="U76" s="1"/>
      <c r="V76" s="1"/>
      <c r="W76" s="1"/>
      <c r="X76" s="1"/>
      <c r="Y76" s="5"/>
      <c r="Z76" s="5"/>
      <c r="AA76" s="5"/>
      <c r="AB76" s="1"/>
      <c r="AC76" s="1"/>
      <c r="AD76" s="1"/>
      <c r="AE76" s="1"/>
      <c r="AF76" s="1"/>
      <c r="AG76" s="1"/>
      <c r="AH76" s="1"/>
      <c r="AI76" s="1"/>
      <c r="AJ76" s="1"/>
      <c r="AK76" s="1"/>
      <c r="AL76" s="1"/>
      <c r="AM76" s="1"/>
      <c r="AN76" s="1"/>
      <c r="AO76" s="1"/>
      <c r="AP76" s="1"/>
      <c r="AQ76" s="1"/>
      <c r="AR76" s="1"/>
      <c r="AS76" s="1"/>
      <c r="AT76" s="1"/>
      <c r="AU76" s="1"/>
      <c r="AV76" s="1"/>
      <c r="AW76" s="1"/>
      <c r="AX76" s="1"/>
    </row>
    <row r="77" spans="1:50" ht="18" customHeight="1" collapsed="1" x14ac:dyDescent="0.3">
      <c r="A77" s="1"/>
      <c r="B77" s="1"/>
      <c r="C77" s="1"/>
      <c r="D77" s="1"/>
      <c r="E77" s="1"/>
      <c r="F77" s="1"/>
      <c r="G77" s="1"/>
      <c r="H77" s="1"/>
      <c r="I77" s="1"/>
      <c r="J77" s="1"/>
      <c r="K77" s="1"/>
      <c r="L77" s="1"/>
      <c r="M77" s="1"/>
      <c r="N77" s="1"/>
      <c r="O77" s="1"/>
      <c r="P77" s="1"/>
      <c r="Q77" s="1"/>
      <c r="R77" s="2"/>
      <c r="S77" s="2"/>
      <c r="T77" s="2"/>
      <c r="U77" s="1"/>
      <c r="V77" s="1"/>
      <c r="W77" s="1"/>
      <c r="X77" s="1"/>
      <c r="Y77" s="5"/>
      <c r="Z77" s="5"/>
      <c r="AA77" s="5"/>
      <c r="AB77" s="1"/>
      <c r="AC77" s="1"/>
      <c r="AD77" s="1"/>
      <c r="AE77" s="1"/>
      <c r="AF77" s="1"/>
      <c r="AG77" s="1"/>
      <c r="AH77" s="1"/>
      <c r="AI77" s="1"/>
      <c r="AJ77" s="1"/>
      <c r="AK77" s="1"/>
      <c r="AL77" s="1"/>
      <c r="AM77" s="1"/>
      <c r="AN77" s="1"/>
      <c r="AO77" s="1"/>
      <c r="AP77" s="1"/>
      <c r="AQ77" s="1"/>
      <c r="AR77" s="1"/>
      <c r="AS77" s="1"/>
      <c r="AT77" s="1"/>
      <c r="AU77" s="1"/>
      <c r="AV77" s="1"/>
      <c r="AW77" s="1"/>
      <c r="AX77" s="1"/>
    </row>
    <row r="78" spans="1:50" ht="18" hidden="1" customHeight="1" x14ac:dyDescent="0.3">
      <c r="A78" s="1"/>
      <c r="B78" s="1"/>
      <c r="C78" s="1"/>
      <c r="D78" s="1"/>
      <c r="E78" s="1"/>
      <c r="F78" s="1"/>
      <c r="G78" s="1"/>
      <c r="H78" s="1"/>
      <c r="I78" s="1"/>
      <c r="J78" s="1"/>
      <c r="K78" s="1"/>
      <c r="L78" s="1"/>
      <c r="M78" s="1"/>
      <c r="N78" s="1"/>
      <c r="O78" s="1"/>
      <c r="P78" s="1"/>
      <c r="Q78" s="1"/>
      <c r="R78" s="2"/>
      <c r="S78" s="2"/>
      <c r="T78" s="2"/>
      <c r="U78" s="1"/>
      <c r="V78" s="1"/>
      <c r="W78" s="1"/>
      <c r="X78" s="1"/>
      <c r="Y78" s="5"/>
      <c r="Z78" s="5"/>
      <c r="AA78" s="5"/>
      <c r="AB78" s="1"/>
      <c r="AC78" s="1"/>
      <c r="AD78" s="1"/>
      <c r="AE78" s="1"/>
      <c r="AF78" s="1"/>
      <c r="AG78" s="1"/>
      <c r="AH78" s="1"/>
      <c r="AI78" s="1"/>
      <c r="AJ78" s="1"/>
      <c r="AK78" s="1"/>
      <c r="AL78" s="1"/>
      <c r="AM78" s="1"/>
      <c r="AN78" s="1"/>
      <c r="AO78" s="1"/>
      <c r="AP78" s="1"/>
      <c r="AQ78" s="1"/>
      <c r="AR78" s="1"/>
      <c r="AS78" s="1"/>
      <c r="AT78" s="1"/>
      <c r="AU78" s="1"/>
      <c r="AV78" s="1"/>
      <c r="AW78" s="1"/>
      <c r="AX78" s="1"/>
    </row>
    <row r="79" spans="1:50" ht="18" hidden="1" customHeight="1" x14ac:dyDescent="0.3">
      <c r="A79" s="1"/>
      <c r="B79" s="1"/>
      <c r="C79" s="1"/>
      <c r="D79" s="1"/>
      <c r="E79" s="1"/>
      <c r="F79" s="1"/>
      <c r="G79" s="1"/>
      <c r="H79" s="1"/>
      <c r="I79" s="1"/>
      <c r="J79" s="1"/>
      <c r="K79" s="1"/>
      <c r="L79" s="1"/>
      <c r="M79" s="1"/>
      <c r="N79" s="1"/>
      <c r="O79" s="1"/>
      <c r="P79" s="1"/>
      <c r="Q79" s="1"/>
      <c r="R79" s="2"/>
      <c r="S79" s="2"/>
      <c r="T79" s="2"/>
      <c r="U79" s="1"/>
      <c r="V79" s="1"/>
      <c r="W79" s="1"/>
      <c r="X79" s="1"/>
      <c r="Y79" s="5"/>
      <c r="Z79" s="5"/>
      <c r="AA79" s="5"/>
      <c r="AB79" s="1"/>
      <c r="AC79" s="1"/>
      <c r="AD79" s="1"/>
      <c r="AE79" s="1"/>
      <c r="AF79" s="1"/>
      <c r="AG79" s="1"/>
      <c r="AH79" s="1"/>
      <c r="AI79" s="1"/>
      <c r="AJ79" s="1"/>
      <c r="AK79" s="1"/>
      <c r="AL79" s="1"/>
      <c r="AM79" s="1"/>
      <c r="AN79" s="1"/>
      <c r="AO79" s="1"/>
      <c r="AP79" s="1"/>
      <c r="AQ79" s="1"/>
      <c r="AR79" s="1"/>
      <c r="AS79" s="1"/>
      <c r="AT79" s="1"/>
      <c r="AU79" s="1"/>
      <c r="AV79" s="1"/>
      <c r="AW79" s="1"/>
      <c r="AX79" s="1"/>
    </row>
    <row r="80" spans="1:50" ht="18" hidden="1" customHeight="1" x14ac:dyDescent="0.3">
      <c r="A80" s="1"/>
      <c r="B80" s="1"/>
      <c r="C80" s="1"/>
      <c r="D80" s="1"/>
      <c r="E80" s="1"/>
      <c r="F80" s="1"/>
      <c r="G80" s="1"/>
      <c r="H80" s="1"/>
      <c r="I80" s="1"/>
      <c r="J80" s="1"/>
      <c r="K80" s="1"/>
      <c r="L80" s="1"/>
      <c r="M80" s="1"/>
      <c r="N80" s="1"/>
      <c r="O80" s="1"/>
      <c r="P80" s="1"/>
      <c r="Q80" s="1"/>
      <c r="R80" s="2"/>
      <c r="S80" s="2"/>
      <c r="T80" s="2"/>
      <c r="U80" s="1"/>
      <c r="V80" s="1"/>
      <c r="W80" s="1"/>
      <c r="X80" s="1"/>
      <c r="Y80" s="5"/>
      <c r="Z80" s="5"/>
      <c r="AA80" s="5"/>
      <c r="AB80" s="1"/>
      <c r="AC80" s="1"/>
      <c r="AD80" s="1"/>
      <c r="AE80" s="1"/>
      <c r="AF80" s="1"/>
      <c r="AG80" s="1"/>
      <c r="AH80" s="1"/>
      <c r="AI80" s="1"/>
      <c r="AJ80" s="1"/>
      <c r="AK80" s="1"/>
      <c r="AL80" s="1"/>
      <c r="AM80" s="1"/>
      <c r="AN80" s="1"/>
      <c r="AO80" s="1"/>
      <c r="AP80" s="1"/>
      <c r="AQ80" s="1"/>
      <c r="AR80" s="1"/>
      <c r="AS80" s="1"/>
      <c r="AT80" s="1"/>
      <c r="AU80" s="1"/>
      <c r="AV80" s="1"/>
      <c r="AW80" s="1"/>
      <c r="AX80" s="1"/>
    </row>
    <row r="81" spans="1:50" ht="18" hidden="1" customHeight="1" x14ac:dyDescent="0.3">
      <c r="A81" s="1"/>
      <c r="B81" s="1"/>
      <c r="C81" s="1"/>
      <c r="D81" s="1"/>
      <c r="E81" s="1"/>
      <c r="F81" s="1"/>
      <c r="G81" s="1"/>
      <c r="H81" s="1"/>
      <c r="I81" s="1"/>
      <c r="J81" s="1"/>
      <c r="K81" s="1"/>
      <c r="L81" s="1"/>
      <c r="M81" s="1"/>
      <c r="N81" s="1"/>
      <c r="O81" s="1"/>
      <c r="P81" s="1"/>
      <c r="Q81" s="1"/>
      <c r="R81" s="2"/>
      <c r="S81" s="2"/>
      <c r="T81" s="2"/>
      <c r="U81" s="1"/>
      <c r="V81" s="1"/>
      <c r="W81" s="1"/>
      <c r="X81" s="1"/>
      <c r="Y81" s="5"/>
      <c r="Z81" s="5"/>
      <c r="AA81" s="5"/>
      <c r="AB81" s="1"/>
      <c r="AC81" s="1"/>
      <c r="AD81" s="1"/>
      <c r="AE81" s="1"/>
      <c r="AF81" s="1"/>
      <c r="AG81" s="1"/>
      <c r="AH81" s="1"/>
      <c r="AI81" s="1"/>
      <c r="AJ81" s="1"/>
      <c r="AK81" s="1"/>
      <c r="AL81" s="1"/>
      <c r="AM81" s="1"/>
      <c r="AN81" s="1"/>
      <c r="AO81" s="1"/>
      <c r="AP81" s="1"/>
      <c r="AQ81" s="1"/>
      <c r="AR81" s="1"/>
      <c r="AS81" s="1"/>
      <c r="AT81" s="1"/>
      <c r="AU81" s="1"/>
      <c r="AV81" s="1"/>
      <c r="AW81" s="1"/>
      <c r="AX81" s="1"/>
    </row>
    <row r="82" spans="1:50" ht="18" hidden="1" customHeight="1" x14ac:dyDescent="0.3">
      <c r="A82" s="1"/>
      <c r="B82" s="1"/>
      <c r="C82" s="1"/>
      <c r="D82" s="1"/>
      <c r="E82" s="1"/>
      <c r="F82" s="1"/>
      <c r="G82" s="1"/>
      <c r="H82" s="1"/>
      <c r="I82" s="1"/>
      <c r="J82" s="1"/>
      <c r="K82" s="1"/>
      <c r="L82" s="1"/>
      <c r="M82" s="1"/>
      <c r="N82" s="1"/>
      <c r="O82" s="1"/>
      <c r="P82" s="1"/>
      <c r="Q82" s="1"/>
      <c r="R82" s="2"/>
      <c r="S82" s="2"/>
      <c r="T82" s="2"/>
      <c r="U82" s="1"/>
      <c r="V82" s="1"/>
      <c r="W82" s="1"/>
      <c r="X82" s="1"/>
      <c r="Y82" s="5"/>
      <c r="Z82" s="5"/>
      <c r="AA82" s="5"/>
      <c r="AB82" s="1"/>
      <c r="AC82" s="1"/>
      <c r="AD82" s="1"/>
      <c r="AE82" s="1"/>
      <c r="AF82" s="1"/>
      <c r="AG82" s="1"/>
      <c r="AH82" s="1"/>
      <c r="AI82" s="1"/>
      <c r="AJ82" s="1"/>
      <c r="AK82" s="1"/>
      <c r="AL82" s="1"/>
      <c r="AM82" s="1"/>
      <c r="AN82" s="1"/>
      <c r="AO82" s="1"/>
      <c r="AP82" s="1"/>
      <c r="AQ82" s="1"/>
      <c r="AR82" s="1"/>
      <c r="AS82" s="1"/>
      <c r="AT82" s="1"/>
      <c r="AU82" s="1"/>
      <c r="AV82" s="1"/>
      <c r="AW82" s="1"/>
      <c r="AX82" s="1"/>
    </row>
    <row r="83" spans="1:50" ht="18" hidden="1" customHeight="1" x14ac:dyDescent="0.3">
      <c r="A83" s="1"/>
      <c r="B83" s="1"/>
      <c r="C83" s="1"/>
      <c r="D83" s="1"/>
      <c r="E83" s="1"/>
      <c r="F83" s="1"/>
      <c r="G83" s="1"/>
      <c r="H83" s="1"/>
      <c r="I83" s="1"/>
      <c r="J83" s="1"/>
      <c r="K83" s="1"/>
      <c r="L83" s="1"/>
      <c r="M83" s="1"/>
      <c r="N83" s="1"/>
      <c r="O83" s="1"/>
      <c r="P83" s="1"/>
      <c r="Q83" s="1"/>
      <c r="R83" s="2"/>
      <c r="S83" s="2"/>
      <c r="T83" s="2"/>
      <c r="U83" s="1"/>
      <c r="V83" s="1"/>
      <c r="W83" s="1"/>
      <c r="X83" s="1"/>
      <c r="Y83" s="5"/>
      <c r="Z83" s="5"/>
      <c r="AA83" s="5"/>
      <c r="AB83" s="1"/>
      <c r="AC83" s="1"/>
      <c r="AD83" s="1"/>
      <c r="AE83" s="1"/>
      <c r="AF83" s="1"/>
      <c r="AG83" s="1"/>
      <c r="AH83" s="1"/>
      <c r="AI83" s="1"/>
      <c r="AJ83" s="1"/>
      <c r="AK83" s="1"/>
      <c r="AL83" s="1"/>
      <c r="AM83" s="1"/>
      <c r="AN83" s="1"/>
      <c r="AO83" s="1"/>
      <c r="AP83" s="1"/>
      <c r="AQ83" s="1"/>
      <c r="AR83" s="1"/>
      <c r="AS83" s="1"/>
      <c r="AT83" s="1"/>
      <c r="AU83" s="1"/>
      <c r="AV83" s="1"/>
      <c r="AW83" s="1"/>
      <c r="AX83" s="1"/>
    </row>
    <row r="84" spans="1:50" ht="18" hidden="1" customHeight="1" x14ac:dyDescent="0.3">
      <c r="A84" s="1"/>
      <c r="B84" s="1"/>
      <c r="C84" s="1"/>
      <c r="D84" s="1"/>
      <c r="E84" s="1"/>
      <c r="F84" s="1"/>
      <c r="G84" s="1"/>
      <c r="H84" s="1"/>
      <c r="I84" s="1"/>
      <c r="J84" s="1"/>
      <c r="K84" s="1"/>
      <c r="L84" s="1"/>
      <c r="M84" s="1"/>
      <c r="N84" s="1"/>
      <c r="O84" s="1"/>
      <c r="P84" s="1"/>
      <c r="Q84" s="1"/>
      <c r="R84" s="2"/>
      <c r="S84" s="2"/>
      <c r="T84" s="2"/>
      <c r="U84" s="1"/>
      <c r="V84" s="1"/>
      <c r="W84" s="1"/>
      <c r="X84" s="1"/>
      <c r="Y84" s="5"/>
      <c r="Z84" s="5"/>
      <c r="AA84" s="5"/>
      <c r="AB84" s="1"/>
      <c r="AC84" s="1"/>
      <c r="AD84" s="1"/>
      <c r="AE84" s="1"/>
      <c r="AF84" s="1"/>
      <c r="AG84" s="1"/>
      <c r="AH84" s="1"/>
      <c r="AI84" s="1"/>
      <c r="AJ84" s="1"/>
      <c r="AK84" s="1"/>
      <c r="AL84" s="1"/>
      <c r="AM84" s="1"/>
      <c r="AN84" s="1"/>
      <c r="AO84" s="1"/>
      <c r="AP84" s="1"/>
      <c r="AQ84" s="1"/>
      <c r="AR84" s="1"/>
      <c r="AS84" s="1"/>
      <c r="AT84" s="1"/>
      <c r="AU84" s="1"/>
      <c r="AV84" s="1"/>
      <c r="AW84" s="1"/>
      <c r="AX84" s="1"/>
    </row>
    <row r="85" spans="1:50" ht="18" hidden="1" customHeight="1" x14ac:dyDescent="0.3">
      <c r="A85" s="1"/>
      <c r="B85" s="1"/>
      <c r="C85" s="1"/>
      <c r="D85" s="1"/>
      <c r="E85" s="1"/>
      <c r="F85" s="1"/>
      <c r="G85" s="1"/>
      <c r="H85" s="1"/>
      <c r="I85" s="1"/>
      <c r="J85" s="1"/>
      <c r="K85" s="1"/>
      <c r="L85" s="1"/>
      <c r="M85" s="1"/>
      <c r="N85" s="1"/>
      <c r="O85" s="1"/>
      <c r="P85" s="1"/>
      <c r="Q85" s="1"/>
      <c r="R85" s="2"/>
      <c r="S85" s="2"/>
      <c r="T85" s="2"/>
      <c r="U85" s="1"/>
      <c r="V85" s="1"/>
      <c r="W85" s="1"/>
      <c r="X85" s="1"/>
      <c r="Y85" s="5"/>
      <c r="Z85" s="5"/>
      <c r="AA85" s="5"/>
      <c r="AB85" s="1"/>
      <c r="AC85" s="1"/>
      <c r="AD85" s="1"/>
      <c r="AE85" s="1"/>
      <c r="AF85" s="1"/>
      <c r="AG85" s="1"/>
      <c r="AH85" s="1"/>
      <c r="AI85" s="1"/>
      <c r="AJ85" s="1"/>
      <c r="AK85" s="1"/>
      <c r="AL85" s="1"/>
      <c r="AM85" s="1"/>
      <c r="AN85" s="1"/>
      <c r="AO85" s="1"/>
      <c r="AP85" s="1"/>
      <c r="AQ85" s="1"/>
      <c r="AR85" s="1"/>
      <c r="AS85" s="1"/>
      <c r="AT85" s="1"/>
      <c r="AU85" s="1"/>
      <c r="AV85" s="1"/>
      <c r="AW85" s="1"/>
      <c r="AX85" s="1"/>
    </row>
    <row r="86" spans="1:50" ht="18" customHeight="1" collapsed="1" x14ac:dyDescent="0.3">
      <c r="A86" s="1"/>
      <c r="B86" s="1"/>
      <c r="C86" s="1"/>
      <c r="D86" s="1"/>
      <c r="E86" s="1"/>
      <c r="F86" s="1"/>
      <c r="G86" s="1"/>
      <c r="H86" s="1"/>
      <c r="I86" s="1"/>
      <c r="J86" s="1"/>
      <c r="K86" s="1"/>
      <c r="L86" s="1"/>
      <c r="M86" s="1"/>
      <c r="N86" s="1"/>
      <c r="O86" s="1"/>
      <c r="P86" s="1"/>
      <c r="Q86" s="1"/>
      <c r="R86" s="2"/>
      <c r="S86" s="2"/>
      <c r="T86" s="2"/>
      <c r="U86" s="1"/>
      <c r="V86" s="1"/>
      <c r="W86" s="1"/>
      <c r="X86" s="1"/>
      <c r="Y86" s="5"/>
      <c r="Z86" s="5"/>
      <c r="AA86" s="5"/>
      <c r="AB86" s="1"/>
      <c r="AC86" s="1"/>
      <c r="AD86" s="1"/>
      <c r="AE86" s="1"/>
      <c r="AF86" s="1"/>
      <c r="AG86" s="1"/>
      <c r="AH86" s="1"/>
      <c r="AI86" s="1"/>
      <c r="AJ86" s="1"/>
      <c r="AK86" s="1"/>
      <c r="AL86" s="1"/>
      <c r="AM86" s="1"/>
      <c r="AN86" s="1"/>
      <c r="AO86" s="1"/>
      <c r="AP86" s="1"/>
      <c r="AQ86" s="1"/>
      <c r="AR86" s="1"/>
      <c r="AS86" s="1"/>
      <c r="AT86" s="1"/>
      <c r="AU86" s="1"/>
      <c r="AV86" s="1"/>
      <c r="AW86" s="1"/>
      <c r="AX86" s="1"/>
    </row>
    <row r="87" spans="1:50" ht="18" customHeight="1" x14ac:dyDescent="0.3">
      <c r="A87" s="1"/>
      <c r="B87" s="1"/>
      <c r="C87" s="1"/>
      <c r="D87" s="1"/>
      <c r="E87" s="1"/>
      <c r="F87" s="1"/>
      <c r="G87" s="1"/>
      <c r="H87" s="1"/>
      <c r="I87" s="1"/>
      <c r="J87" s="1"/>
      <c r="K87" s="1"/>
      <c r="L87" s="1"/>
      <c r="M87" s="1"/>
      <c r="N87" s="1"/>
      <c r="O87" s="1"/>
      <c r="P87" s="1"/>
      <c r="Q87" s="1"/>
      <c r="R87" s="2"/>
      <c r="S87" s="2"/>
      <c r="T87" s="2"/>
      <c r="U87" s="1"/>
      <c r="V87" s="1"/>
      <c r="W87" s="1"/>
      <c r="X87" s="1"/>
      <c r="Y87" s="5"/>
      <c r="Z87" s="5"/>
      <c r="AA87" s="5"/>
      <c r="AB87" s="1"/>
      <c r="AC87" s="1"/>
      <c r="AD87" s="1"/>
      <c r="AE87" s="1"/>
      <c r="AF87" s="1"/>
      <c r="AG87" s="1"/>
      <c r="AH87" s="1"/>
      <c r="AI87" s="1"/>
      <c r="AJ87" s="1"/>
      <c r="AK87" s="1"/>
      <c r="AL87" s="1"/>
      <c r="AM87" s="1"/>
      <c r="AN87" s="1"/>
      <c r="AO87" s="1"/>
      <c r="AP87" s="1"/>
      <c r="AQ87" s="1"/>
      <c r="AR87" s="1"/>
      <c r="AS87" s="1"/>
      <c r="AT87" s="1"/>
      <c r="AU87" s="1"/>
      <c r="AV87" s="1"/>
      <c r="AW87" s="1"/>
      <c r="AX87" s="1"/>
    </row>
    <row r="88" spans="1:50" ht="18" hidden="1" customHeight="1" x14ac:dyDescent="0.3">
      <c r="A88" s="1"/>
      <c r="B88" s="1"/>
      <c r="C88" s="1"/>
      <c r="D88" s="1"/>
      <c r="E88" s="1"/>
      <c r="F88" s="1"/>
      <c r="G88" s="1"/>
      <c r="H88" s="1"/>
      <c r="I88" s="1"/>
      <c r="J88" s="1"/>
      <c r="K88" s="1"/>
      <c r="L88" s="1"/>
      <c r="M88" s="1"/>
      <c r="N88" s="1"/>
      <c r="O88" s="1"/>
      <c r="P88" s="1"/>
      <c r="Q88" s="1"/>
      <c r="R88" s="2"/>
      <c r="S88" s="2"/>
      <c r="T88" s="2"/>
      <c r="U88" s="1"/>
      <c r="V88" s="1"/>
      <c r="W88" s="1"/>
      <c r="X88" s="1"/>
      <c r="Y88" s="5"/>
      <c r="Z88" s="5"/>
      <c r="AA88" s="5"/>
      <c r="AB88" s="1"/>
      <c r="AC88" s="1"/>
      <c r="AD88" s="1"/>
      <c r="AE88" s="1"/>
      <c r="AF88" s="1"/>
      <c r="AG88" s="1"/>
      <c r="AH88" s="1"/>
      <c r="AI88" s="1"/>
      <c r="AJ88" s="1"/>
      <c r="AK88" s="1"/>
      <c r="AL88" s="1"/>
      <c r="AM88" s="1"/>
      <c r="AN88" s="1"/>
      <c r="AO88" s="1"/>
      <c r="AP88" s="1"/>
      <c r="AQ88" s="1"/>
      <c r="AR88" s="1"/>
      <c r="AS88" s="1"/>
      <c r="AT88" s="1"/>
      <c r="AU88" s="1"/>
      <c r="AV88" s="1"/>
      <c r="AW88" s="1"/>
      <c r="AX88" s="1"/>
    </row>
    <row r="89" spans="1:50" ht="18" hidden="1" customHeight="1" x14ac:dyDescent="0.3">
      <c r="A89" s="1"/>
      <c r="B89" s="1"/>
      <c r="C89" s="1"/>
      <c r="D89" s="1"/>
      <c r="E89" s="1"/>
      <c r="F89" s="1"/>
      <c r="G89" s="1"/>
      <c r="H89" s="1"/>
      <c r="I89" s="1"/>
      <c r="J89" s="1"/>
      <c r="K89" s="1"/>
      <c r="L89" s="1"/>
      <c r="M89" s="1"/>
      <c r="N89" s="1"/>
      <c r="O89" s="1"/>
      <c r="P89" s="1"/>
      <c r="Q89" s="1"/>
      <c r="R89" s="2"/>
      <c r="S89" s="2"/>
      <c r="T89" s="2"/>
      <c r="U89" s="1"/>
      <c r="V89" s="1"/>
      <c r="W89" s="1"/>
      <c r="X89" s="1"/>
      <c r="Y89" s="5"/>
      <c r="Z89" s="5"/>
      <c r="AA89" s="5"/>
      <c r="AB89" s="1"/>
      <c r="AC89" s="1"/>
      <c r="AD89" s="1"/>
      <c r="AE89" s="1"/>
      <c r="AF89" s="1"/>
      <c r="AG89" s="1"/>
      <c r="AH89" s="1"/>
      <c r="AI89" s="1"/>
      <c r="AJ89" s="1"/>
      <c r="AK89" s="1"/>
      <c r="AL89" s="1"/>
      <c r="AM89" s="1"/>
      <c r="AN89" s="1"/>
      <c r="AO89" s="1"/>
      <c r="AP89" s="1"/>
      <c r="AQ89" s="1"/>
      <c r="AR89" s="1"/>
      <c r="AS89" s="1"/>
      <c r="AT89" s="1"/>
      <c r="AU89" s="1"/>
      <c r="AV89" s="1"/>
      <c r="AW89" s="1"/>
      <c r="AX89" s="1"/>
    </row>
    <row r="90" spans="1:50" ht="18" hidden="1" customHeight="1" x14ac:dyDescent="0.3">
      <c r="A90" s="1"/>
      <c r="B90" s="1"/>
      <c r="C90" s="1"/>
      <c r="D90" s="1"/>
      <c r="E90" s="1"/>
      <c r="F90" s="1"/>
      <c r="G90" s="1"/>
      <c r="H90" s="1"/>
      <c r="I90" s="1"/>
      <c r="J90" s="1"/>
      <c r="K90" s="1"/>
      <c r="L90" s="1"/>
      <c r="M90" s="1"/>
      <c r="N90" s="1"/>
      <c r="O90" s="1"/>
      <c r="P90" s="1"/>
      <c r="Q90" s="1"/>
      <c r="R90" s="2"/>
      <c r="S90" s="2"/>
      <c r="T90" s="2"/>
      <c r="U90" s="1"/>
      <c r="V90" s="1"/>
      <c r="W90" s="1"/>
      <c r="X90" s="1"/>
      <c r="Y90" s="5"/>
      <c r="Z90" s="5"/>
      <c r="AA90" s="5"/>
      <c r="AB90" s="1"/>
      <c r="AC90" s="1"/>
      <c r="AD90" s="1"/>
      <c r="AE90" s="1"/>
      <c r="AF90" s="1"/>
      <c r="AG90" s="1"/>
      <c r="AH90" s="1"/>
      <c r="AI90" s="1"/>
      <c r="AJ90" s="1"/>
      <c r="AK90" s="1"/>
      <c r="AL90" s="1"/>
      <c r="AM90" s="1"/>
      <c r="AN90" s="1"/>
      <c r="AO90" s="1"/>
      <c r="AP90" s="1"/>
      <c r="AQ90" s="1"/>
      <c r="AR90" s="1"/>
      <c r="AS90" s="1"/>
      <c r="AT90" s="1"/>
      <c r="AU90" s="1"/>
      <c r="AV90" s="1"/>
      <c r="AW90" s="1"/>
      <c r="AX90" s="1"/>
    </row>
    <row r="91" spans="1:50" ht="18" hidden="1" customHeight="1" x14ac:dyDescent="0.3">
      <c r="A91" s="1"/>
      <c r="B91" s="1"/>
      <c r="C91" s="1"/>
      <c r="D91" s="1"/>
      <c r="E91" s="1"/>
      <c r="F91" s="1"/>
      <c r="G91" s="1"/>
      <c r="H91" s="1"/>
      <c r="I91" s="1"/>
      <c r="J91" s="1"/>
      <c r="K91" s="1"/>
      <c r="L91" s="1"/>
      <c r="M91" s="1"/>
      <c r="N91" s="1"/>
      <c r="O91" s="1"/>
      <c r="P91" s="1"/>
      <c r="Q91" s="1"/>
      <c r="R91" s="2"/>
      <c r="S91" s="2"/>
      <c r="T91" s="2"/>
      <c r="U91" s="1"/>
      <c r="V91" s="1"/>
      <c r="W91" s="1"/>
      <c r="X91" s="1"/>
      <c r="Y91" s="5"/>
      <c r="Z91" s="5"/>
      <c r="AA91" s="5"/>
      <c r="AB91" s="1"/>
      <c r="AC91" s="1"/>
      <c r="AD91" s="1"/>
      <c r="AE91" s="1"/>
      <c r="AF91" s="1"/>
      <c r="AG91" s="1"/>
      <c r="AH91" s="1"/>
      <c r="AI91" s="1"/>
      <c r="AJ91" s="1"/>
      <c r="AK91" s="1"/>
      <c r="AL91" s="1"/>
      <c r="AM91" s="1"/>
      <c r="AN91" s="1"/>
      <c r="AO91" s="1"/>
      <c r="AP91" s="1"/>
      <c r="AQ91" s="1"/>
      <c r="AR91" s="1"/>
      <c r="AS91" s="1"/>
      <c r="AT91" s="1"/>
      <c r="AU91" s="1"/>
      <c r="AV91" s="1"/>
      <c r="AW91" s="1"/>
      <c r="AX91" s="1"/>
    </row>
    <row r="92" spans="1:50" ht="18" hidden="1" customHeight="1" x14ac:dyDescent="0.3">
      <c r="A92" s="1"/>
      <c r="B92" s="1"/>
      <c r="C92" s="1"/>
      <c r="D92" s="1"/>
      <c r="E92" s="1"/>
      <c r="F92" s="1"/>
      <c r="G92" s="1"/>
      <c r="H92" s="1"/>
      <c r="I92" s="1"/>
      <c r="J92" s="1"/>
      <c r="K92" s="1"/>
      <c r="L92" s="1"/>
      <c r="M92" s="1"/>
      <c r="N92" s="1"/>
      <c r="O92" s="1"/>
      <c r="P92" s="1"/>
      <c r="Q92" s="1"/>
      <c r="R92" s="2"/>
      <c r="S92" s="2"/>
      <c r="T92" s="2"/>
      <c r="U92" s="1"/>
      <c r="V92" s="1"/>
      <c r="W92" s="1"/>
      <c r="X92" s="1"/>
      <c r="Y92" s="5"/>
      <c r="Z92" s="5"/>
      <c r="AA92" s="5"/>
      <c r="AB92" s="1"/>
      <c r="AC92" s="1"/>
      <c r="AD92" s="1"/>
      <c r="AE92" s="1"/>
      <c r="AF92" s="1"/>
      <c r="AG92" s="1"/>
      <c r="AH92" s="1"/>
      <c r="AI92" s="1"/>
      <c r="AJ92" s="1"/>
      <c r="AK92" s="1"/>
      <c r="AL92" s="1"/>
      <c r="AM92" s="1"/>
      <c r="AN92" s="1"/>
      <c r="AO92" s="1"/>
      <c r="AP92" s="1"/>
      <c r="AQ92" s="1"/>
      <c r="AR92" s="1"/>
      <c r="AS92" s="1"/>
      <c r="AT92" s="1"/>
      <c r="AU92" s="1"/>
      <c r="AV92" s="1"/>
      <c r="AW92" s="1"/>
      <c r="AX92" s="1"/>
    </row>
    <row r="93" spans="1:50" ht="18" hidden="1" customHeight="1" x14ac:dyDescent="0.3">
      <c r="A93" s="1"/>
      <c r="B93" s="1"/>
      <c r="C93" s="1"/>
      <c r="D93" s="1"/>
      <c r="E93" s="1"/>
      <c r="F93" s="1"/>
      <c r="G93" s="1"/>
      <c r="H93" s="1"/>
      <c r="I93" s="1"/>
      <c r="J93" s="1"/>
      <c r="K93" s="1"/>
      <c r="L93" s="1"/>
      <c r="M93" s="1"/>
      <c r="N93" s="1"/>
      <c r="O93" s="1"/>
      <c r="P93" s="1"/>
      <c r="Q93" s="1"/>
      <c r="R93" s="2"/>
      <c r="S93" s="2"/>
      <c r="T93" s="2"/>
      <c r="U93" s="1"/>
      <c r="V93" s="1"/>
      <c r="W93" s="1"/>
      <c r="X93" s="1"/>
      <c r="Y93" s="5"/>
      <c r="Z93" s="5"/>
      <c r="AA93" s="5"/>
      <c r="AB93" s="1"/>
      <c r="AC93" s="1"/>
      <c r="AD93" s="1"/>
      <c r="AE93" s="1"/>
      <c r="AF93" s="1"/>
      <c r="AG93" s="1"/>
      <c r="AH93" s="1"/>
      <c r="AI93" s="1"/>
      <c r="AJ93" s="1"/>
      <c r="AK93" s="1"/>
      <c r="AL93" s="1"/>
      <c r="AM93" s="1"/>
      <c r="AN93" s="1"/>
      <c r="AO93" s="1"/>
      <c r="AP93" s="1"/>
      <c r="AQ93" s="1"/>
      <c r="AR93" s="1"/>
      <c r="AS93" s="1"/>
      <c r="AT93" s="1"/>
      <c r="AU93" s="1"/>
      <c r="AV93" s="1"/>
      <c r="AW93" s="1"/>
      <c r="AX93" s="1"/>
    </row>
    <row r="94" spans="1:50" ht="18" hidden="1" customHeight="1" x14ac:dyDescent="0.3">
      <c r="A94" s="1"/>
      <c r="B94" s="1"/>
      <c r="C94" s="1"/>
      <c r="D94" s="1"/>
      <c r="E94" s="1"/>
      <c r="F94" s="1"/>
      <c r="G94" s="1"/>
      <c r="H94" s="1"/>
      <c r="I94" s="1"/>
      <c r="J94" s="1"/>
      <c r="K94" s="1"/>
      <c r="L94" s="1"/>
      <c r="M94" s="1"/>
      <c r="N94" s="1"/>
      <c r="O94" s="1"/>
      <c r="P94" s="1"/>
      <c r="Q94" s="1"/>
      <c r="R94" s="2"/>
      <c r="S94" s="2"/>
      <c r="T94" s="2"/>
      <c r="U94" s="1"/>
      <c r="V94" s="1"/>
      <c r="W94" s="1"/>
      <c r="X94" s="1"/>
      <c r="Y94" s="5"/>
      <c r="Z94" s="5"/>
      <c r="AA94" s="5"/>
      <c r="AB94" s="1"/>
      <c r="AC94" s="1"/>
      <c r="AD94" s="1"/>
      <c r="AE94" s="1"/>
      <c r="AF94" s="1"/>
      <c r="AG94" s="1"/>
      <c r="AH94" s="1"/>
      <c r="AI94" s="1"/>
      <c r="AJ94" s="1"/>
      <c r="AK94" s="1"/>
      <c r="AL94" s="1"/>
      <c r="AM94" s="1"/>
      <c r="AN94" s="1"/>
      <c r="AO94" s="1"/>
      <c r="AP94" s="1"/>
      <c r="AQ94" s="1"/>
      <c r="AR94" s="1"/>
      <c r="AS94" s="1"/>
      <c r="AT94" s="1"/>
      <c r="AU94" s="1"/>
      <c r="AV94" s="1"/>
      <c r="AW94" s="1"/>
      <c r="AX94" s="1"/>
    </row>
    <row r="95" spans="1:50" ht="18" hidden="1" customHeight="1" x14ac:dyDescent="0.3">
      <c r="A95" s="1"/>
      <c r="B95" s="1"/>
      <c r="C95" s="1"/>
      <c r="D95" s="1"/>
      <c r="E95" s="1"/>
      <c r="F95" s="1"/>
      <c r="G95" s="1"/>
      <c r="H95" s="1"/>
      <c r="I95" s="1"/>
      <c r="J95" s="1"/>
      <c r="K95" s="1"/>
      <c r="L95" s="1"/>
      <c r="M95" s="1"/>
      <c r="N95" s="1"/>
      <c r="O95" s="1"/>
      <c r="P95" s="1"/>
      <c r="Q95" s="1"/>
      <c r="R95" s="2"/>
      <c r="S95" s="2"/>
      <c r="T95" s="2"/>
      <c r="U95" s="1"/>
      <c r="V95" s="1"/>
      <c r="W95" s="1"/>
      <c r="X95" s="1"/>
      <c r="Y95" s="5"/>
      <c r="Z95" s="5"/>
      <c r="AA95" s="5"/>
      <c r="AB95" s="1"/>
      <c r="AC95" s="1"/>
      <c r="AD95" s="1"/>
      <c r="AE95" s="1"/>
      <c r="AF95" s="1"/>
      <c r="AG95" s="1"/>
      <c r="AH95" s="1"/>
      <c r="AI95" s="1"/>
      <c r="AJ95" s="1"/>
      <c r="AK95" s="1"/>
      <c r="AL95" s="1"/>
      <c r="AM95" s="1"/>
      <c r="AN95" s="1"/>
      <c r="AO95" s="1"/>
      <c r="AP95" s="1"/>
      <c r="AQ95" s="1"/>
      <c r="AR95" s="1"/>
      <c r="AS95" s="1"/>
      <c r="AT95" s="1"/>
      <c r="AU95" s="1"/>
      <c r="AV95" s="1"/>
      <c r="AW95" s="1"/>
      <c r="AX95" s="1"/>
    </row>
    <row r="96" spans="1:50" ht="18" hidden="1" customHeight="1" x14ac:dyDescent="0.3">
      <c r="A96" s="1"/>
      <c r="B96" s="1"/>
      <c r="C96" s="1"/>
      <c r="D96" s="1"/>
      <c r="E96" s="1"/>
      <c r="F96" s="1"/>
      <c r="G96" s="1"/>
      <c r="H96" s="1"/>
      <c r="I96" s="1"/>
      <c r="J96" s="1"/>
      <c r="K96" s="1"/>
      <c r="L96" s="1"/>
      <c r="M96" s="1"/>
      <c r="N96" s="1"/>
      <c r="O96" s="1"/>
      <c r="P96" s="1"/>
      <c r="Q96" s="1"/>
      <c r="R96" s="2"/>
      <c r="S96" s="2"/>
      <c r="T96" s="2"/>
      <c r="U96" s="1"/>
      <c r="V96" s="1"/>
      <c r="W96" s="1"/>
      <c r="X96" s="1"/>
      <c r="Y96" s="5"/>
      <c r="Z96" s="5"/>
      <c r="AA96" s="5"/>
      <c r="AB96" s="1"/>
      <c r="AC96" s="1"/>
      <c r="AD96" s="1"/>
      <c r="AE96" s="1"/>
      <c r="AF96" s="1"/>
      <c r="AG96" s="1"/>
      <c r="AH96" s="1"/>
      <c r="AI96" s="1"/>
      <c r="AJ96" s="1"/>
      <c r="AK96" s="1"/>
      <c r="AL96" s="1"/>
      <c r="AM96" s="1"/>
      <c r="AN96" s="1"/>
      <c r="AO96" s="1"/>
      <c r="AP96" s="1"/>
      <c r="AQ96" s="1"/>
      <c r="AR96" s="1"/>
      <c r="AS96" s="1"/>
      <c r="AT96" s="1"/>
      <c r="AU96" s="1"/>
      <c r="AV96" s="1"/>
      <c r="AW96" s="1"/>
      <c r="AX96" s="1"/>
    </row>
    <row r="97" spans="1:50" ht="18" hidden="1" customHeight="1" x14ac:dyDescent="0.3">
      <c r="A97" s="1"/>
      <c r="B97" s="1"/>
      <c r="C97" s="1"/>
      <c r="D97" s="1"/>
      <c r="E97" s="1"/>
      <c r="F97" s="1"/>
      <c r="G97" s="1"/>
      <c r="H97" s="1"/>
      <c r="I97" s="1"/>
      <c r="J97" s="1"/>
      <c r="K97" s="1"/>
      <c r="L97" s="1"/>
      <c r="M97" s="1"/>
      <c r="N97" s="1"/>
      <c r="O97" s="1"/>
      <c r="P97" s="1"/>
      <c r="Q97" s="1"/>
      <c r="R97" s="2"/>
      <c r="S97" s="2"/>
      <c r="T97" s="2"/>
      <c r="U97" s="1"/>
      <c r="V97" s="1"/>
      <c r="W97" s="1"/>
      <c r="X97" s="1"/>
      <c r="Y97" s="5"/>
      <c r="Z97" s="5"/>
      <c r="AA97" s="5"/>
      <c r="AB97" s="1"/>
      <c r="AC97" s="1"/>
      <c r="AD97" s="1"/>
      <c r="AE97" s="1"/>
      <c r="AF97" s="1"/>
      <c r="AG97" s="1"/>
      <c r="AH97" s="1"/>
      <c r="AI97" s="1"/>
      <c r="AJ97" s="1"/>
      <c r="AK97" s="1"/>
      <c r="AL97" s="1"/>
      <c r="AM97" s="1"/>
      <c r="AN97" s="1"/>
      <c r="AO97" s="1"/>
      <c r="AP97" s="1"/>
      <c r="AQ97" s="1"/>
      <c r="AR97" s="1"/>
      <c r="AS97" s="1"/>
      <c r="AT97" s="1"/>
      <c r="AU97" s="1"/>
      <c r="AV97" s="1"/>
      <c r="AW97" s="1"/>
      <c r="AX97" s="1"/>
    </row>
    <row r="98" spans="1:50" ht="18" hidden="1" customHeight="1" x14ac:dyDescent="0.3">
      <c r="A98" s="1"/>
      <c r="B98" s="1"/>
      <c r="C98" s="1"/>
      <c r="D98" s="1"/>
      <c r="E98" s="1"/>
      <c r="F98" s="1"/>
      <c r="G98" s="1"/>
      <c r="H98" s="1"/>
      <c r="I98" s="1"/>
      <c r="J98" s="1"/>
      <c r="K98" s="1"/>
      <c r="L98" s="1"/>
      <c r="M98" s="1"/>
      <c r="N98" s="1"/>
      <c r="O98" s="1"/>
      <c r="P98" s="1"/>
      <c r="Q98" s="1"/>
      <c r="R98" s="2"/>
      <c r="S98" s="2"/>
      <c r="T98" s="2"/>
      <c r="U98" s="1"/>
      <c r="V98" s="1"/>
      <c r="W98" s="1"/>
      <c r="X98" s="1"/>
      <c r="Y98" s="5"/>
      <c r="Z98" s="5"/>
      <c r="AA98" s="5"/>
      <c r="AB98" s="1"/>
      <c r="AC98" s="1"/>
      <c r="AD98" s="1"/>
      <c r="AE98" s="1"/>
      <c r="AF98" s="1"/>
      <c r="AG98" s="1"/>
      <c r="AH98" s="1"/>
      <c r="AI98" s="1"/>
      <c r="AJ98" s="1"/>
      <c r="AK98" s="1"/>
      <c r="AL98" s="1"/>
      <c r="AM98" s="1"/>
      <c r="AN98" s="1"/>
      <c r="AO98" s="1"/>
      <c r="AP98" s="1"/>
      <c r="AQ98" s="1"/>
      <c r="AR98" s="1"/>
      <c r="AS98" s="1"/>
      <c r="AT98" s="1"/>
      <c r="AU98" s="1"/>
      <c r="AV98" s="1"/>
      <c r="AW98" s="1"/>
      <c r="AX98" s="1"/>
    </row>
    <row r="99" spans="1:50" ht="18" hidden="1" customHeight="1" x14ac:dyDescent="0.3">
      <c r="A99" s="1"/>
      <c r="B99" s="1"/>
      <c r="C99" s="1"/>
      <c r="D99" s="1"/>
      <c r="E99" s="1"/>
      <c r="F99" s="1"/>
      <c r="G99" s="1"/>
      <c r="H99" s="1"/>
      <c r="I99" s="1"/>
      <c r="J99" s="1"/>
      <c r="K99" s="1"/>
      <c r="L99" s="1"/>
      <c r="M99" s="1"/>
      <c r="N99" s="1"/>
      <c r="O99" s="1"/>
      <c r="P99" s="1"/>
      <c r="Q99" s="1"/>
      <c r="R99" s="2"/>
      <c r="S99" s="2"/>
      <c r="T99" s="2"/>
      <c r="U99" s="1"/>
      <c r="V99" s="1"/>
      <c r="W99" s="1"/>
      <c r="X99" s="1"/>
      <c r="Y99" s="5"/>
      <c r="Z99" s="5"/>
      <c r="AA99" s="5"/>
      <c r="AB99" s="1"/>
      <c r="AC99" s="1"/>
      <c r="AD99" s="1"/>
      <c r="AE99" s="1"/>
      <c r="AF99" s="1"/>
      <c r="AG99" s="1"/>
      <c r="AH99" s="1"/>
      <c r="AI99" s="1"/>
      <c r="AJ99" s="1"/>
      <c r="AK99" s="1"/>
      <c r="AL99" s="1"/>
      <c r="AM99" s="1"/>
      <c r="AN99" s="1"/>
      <c r="AO99" s="1"/>
      <c r="AP99" s="1"/>
      <c r="AQ99" s="1"/>
      <c r="AR99" s="1"/>
      <c r="AS99" s="1"/>
      <c r="AT99" s="1"/>
      <c r="AU99" s="1"/>
      <c r="AV99" s="1"/>
      <c r="AW99" s="1"/>
      <c r="AX99" s="1"/>
    </row>
    <row r="100" spans="1:50" ht="18" hidden="1" customHeight="1" x14ac:dyDescent="0.3">
      <c r="A100" s="1"/>
      <c r="B100" s="1"/>
      <c r="C100" s="1"/>
      <c r="D100" s="1"/>
      <c r="E100" s="1"/>
      <c r="F100" s="1"/>
      <c r="G100" s="1"/>
      <c r="H100" s="1"/>
      <c r="I100" s="1"/>
      <c r="J100" s="1"/>
      <c r="K100" s="1"/>
      <c r="L100" s="1"/>
      <c r="M100" s="1"/>
      <c r="N100" s="1"/>
      <c r="O100" s="1"/>
      <c r="P100" s="1"/>
      <c r="Q100" s="1"/>
      <c r="R100" s="2"/>
      <c r="S100" s="2"/>
      <c r="T100" s="2"/>
      <c r="U100" s="1"/>
      <c r="V100" s="1"/>
      <c r="W100" s="1"/>
      <c r="X100" s="1"/>
      <c r="Y100" s="5"/>
      <c r="Z100" s="5"/>
      <c r="AA100" s="5"/>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spans="1:50" ht="18" hidden="1" customHeight="1" x14ac:dyDescent="0.3">
      <c r="A101" s="1"/>
      <c r="B101" s="1"/>
      <c r="C101" s="1"/>
      <c r="D101" s="1"/>
      <c r="E101" s="1"/>
      <c r="F101" s="1"/>
      <c r="G101" s="1"/>
      <c r="H101" s="1"/>
      <c r="I101" s="1"/>
      <c r="J101" s="1"/>
      <c r="K101" s="1"/>
      <c r="L101" s="1"/>
      <c r="M101" s="1"/>
      <c r="N101" s="1"/>
      <c r="O101" s="1"/>
      <c r="P101" s="1"/>
      <c r="Q101" s="1"/>
      <c r="R101" s="2"/>
      <c r="S101" s="2"/>
      <c r="T101" s="2"/>
      <c r="U101" s="1"/>
      <c r="V101" s="1"/>
      <c r="W101" s="1"/>
      <c r="X101" s="1"/>
      <c r="Y101" s="5"/>
      <c r="Z101" s="5"/>
      <c r="AA101" s="5"/>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spans="1:50" ht="18" hidden="1" customHeight="1" x14ac:dyDescent="0.3">
      <c r="A102" s="1"/>
      <c r="B102" s="1"/>
      <c r="C102" s="1"/>
      <c r="D102" s="1"/>
      <c r="E102" s="1"/>
      <c r="F102" s="1"/>
      <c r="G102" s="1"/>
      <c r="H102" s="1"/>
      <c r="I102" s="1"/>
      <c r="J102" s="1"/>
      <c r="K102" s="1"/>
      <c r="L102" s="1"/>
      <c r="M102" s="1"/>
      <c r="N102" s="1"/>
      <c r="O102" s="1"/>
      <c r="P102" s="1"/>
      <c r="Q102" s="1"/>
      <c r="R102" s="2"/>
      <c r="S102" s="2"/>
      <c r="T102" s="2"/>
      <c r="U102" s="1"/>
      <c r="V102" s="1"/>
      <c r="W102" s="1"/>
      <c r="X102" s="1"/>
      <c r="Y102" s="5"/>
      <c r="Z102" s="5"/>
      <c r="AA102" s="5"/>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spans="1:50" ht="18" hidden="1" customHeight="1" x14ac:dyDescent="0.3">
      <c r="A103" s="1"/>
      <c r="B103" s="1"/>
      <c r="C103" s="1"/>
      <c r="D103" s="1"/>
      <c r="E103" s="1"/>
      <c r="F103" s="1"/>
      <c r="G103" s="1"/>
      <c r="H103" s="1"/>
      <c r="I103" s="1"/>
      <c r="J103" s="1"/>
      <c r="K103" s="1"/>
      <c r="L103" s="1"/>
      <c r="M103" s="1"/>
      <c r="N103" s="1"/>
      <c r="O103" s="1"/>
      <c r="P103" s="1"/>
      <c r="Q103" s="1"/>
      <c r="R103" s="2"/>
      <c r="S103" s="2"/>
      <c r="T103" s="2"/>
      <c r="U103" s="1"/>
      <c r="V103" s="1"/>
      <c r="W103" s="1"/>
      <c r="X103" s="1"/>
      <c r="Y103" s="5"/>
      <c r="Z103" s="5"/>
      <c r="AA103" s="5"/>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spans="1:50" ht="18" hidden="1" customHeight="1" x14ac:dyDescent="0.3">
      <c r="A104" s="1"/>
      <c r="B104" s="1"/>
      <c r="C104" s="1"/>
      <c r="D104" s="1"/>
      <c r="E104" s="1"/>
      <c r="F104" s="1"/>
      <c r="G104" s="1"/>
      <c r="H104" s="1"/>
      <c r="I104" s="1"/>
      <c r="J104" s="1"/>
      <c r="K104" s="1"/>
      <c r="L104" s="1"/>
      <c r="M104" s="1"/>
      <c r="N104" s="1"/>
      <c r="O104" s="1"/>
      <c r="P104" s="1"/>
      <c r="Q104" s="1"/>
      <c r="R104" s="2"/>
      <c r="S104" s="2"/>
      <c r="T104" s="2"/>
      <c r="U104" s="1"/>
      <c r="V104" s="1"/>
      <c r="W104" s="1"/>
      <c r="X104" s="1"/>
      <c r="Y104" s="5"/>
      <c r="Z104" s="5"/>
      <c r="AA104" s="5"/>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spans="1:50" ht="18" hidden="1" customHeight="1" x14ac:dyDescent="0.3">
      <c r="A105" s="1"/>
      <c r="B105" s="1"/>
      <c r="C105" s="1"/>
      <c r="D105" s="1"/>
      <c r="E105" s="1"/>
      <c r="F105" s="1"/>
      <c r="G105" s="1"/>
      <c r="H105" s="1"/>
      <c r="I105" s="1"/>
      <c r="J105" s="1"/>
      <c r="K105" s="1"/>
      <c r="L105" s="1"/>
      <c r="M105" s="1"/>
      <c r="N105" s="1"/>
      <c r="O105" s="1"/>
      <c r="P105" s="1"/>
      <c r="Q105" s="1"/>
      <c r="R105" s="2"/>
      <c r="S105" s="2"/>
      <c r="T105" s="2"/>
      <c r="U105" s="1"/>
      <c r="V105" s="1"/>
      <c r="W105" s="1"/>
      <c r="X105" s="1"/>
      <c r="Y105" s="5"/>
      <c r="Z105" s="5"/>
      <c r="AA105" s="5"/>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spans="1:50" ht="18" customHeight="1" collapsed="1" x14ac:dyDescent="0.3">
      <c r="A106" s="1"/>
      <c r="B106" s="1"/>
      <c r="C106" s="1"/>
      <c r="D106" s="1"/>
      <c r="E106" s="1"/>
      <c r="F106" s="1"/>
      <c r="G106" s="1"/>
      <c r="H106" s="1"/>
      <c r="I106" s="1"/>
      <c r="J106" s="1"/>
      <c r="K106" s="1"/>
      <c r="L106" s="1"/>
      <c r="M106" s="1"/>
      <c r="N106" s="1"/>
      <c r="O106" s="1"/>
      <c r="P106" s="1"/>
      <c r="Q106" s="1"/>
      <c r="R106" s="2"/>
      <c r="S106" s="2"/>
      <c r="T106" s="2"/>
      <c r="U106" s="1"/>
      <c r="V106" s="1"/>
      <c r="W106" s="1"/>
      <c r="X106" s="1"/>
      <c r="Y106" s="5"/>
      <c r="Z106" s="5"/>
      <c r="AA106" s="5"/>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spans="1:50" ht="18" customHeight="1" x14ac:dyDescent="0.3">
      <c r="A107" s="1"/>
      <c r="B107" s="1"/>
      <c r="C107" s="1"/>
      <c r="D107" s="1"/>
      <c r="E107" s="1"/>
      <c r="F107" s="1"/>
      <c r="G107" s="1"/>
      <c r="H107" s="1"/>
      <c r="I107" s="1"/>
      <c r="J107" s="1"/>
      <c r="K107" s="1"/>
      <c r="L107" s="1"/>
      <c r="M107" s="1"/>
      <c r="N107" s="1"/>
      <c r="O107" s="1"/>
      <c r="P107" s="1"/>
      <c r="Q107" s="1"/>
      <c r="R107" s="2"/>
      <c r="S107" s="2"/>
      <c r="T107" s="2"/>
      <c r="U107" s="1"/>
      <c r="V107" s="1"/>
      <c r="W107" s="1"/>
      <c r="X107" s="1"/>
      <c r="Y107" s="5"/>
      <c r="Z107" s="5"/>
      <c r="AA107" s="5"/>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spans="1:50" ht="18" customHeight="1" x14ac:dyDescent="0.3">
      <c r="A108" s="1"/>
      <c r="B108" s="1"/>
      <c r="C108" s="1"/>
      <c r="D108" s="1"/>
      <c r="E108" s="1"/>
      <c r="F108" s="1"/>
      <c r="G108" s="1"/>
      <c r="H108" s="1"/>
      <c r="I108" s="1"/>
      <c r="J108" s="1"/>
      <c r="K108" s="1"/>
      <c r="L108" s="1"/>
      <c r="M108" s="1"/>
      <c r="N108" s="1"/>
      <c r="O108" s="1"/>
      <c r="P108" s="1"/>
      <c r="Q108" s="1"/>
      <c r="R108" s="2"/>
      <c r="S108" s="2"/>
      <c r="T108" s="2"/>
      <c r="U108" s="1"/>
      <c r="V108" s="1"/>
      <c r="W108" s="1"/>
      <c r="X108" s="1"/>
      <c r="Y108" s="5"/>
      <c r="Z108" s="5"/>
      <c r="AA108" s="5"/>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spans="1:50" ht="18" customHeight="1" x14ac:dyDescent="0.3">
      <c r="A109" s="1"/>
      <c r="B109" s="1"/>
      <c r="C109" s="1"/>
      <c r="D109" s="1"/>
      <c r="E109" s="1"/>
      <c r="F109" s="1"/>
      <c r="G109" s="1"/>
      <c r="H109" s="1"/>
      <c r="I109" s="1"/>
      <c r="J109" s="1"/>
      <c r="K109" s="1"/>
      <c r="L109" s="1"/>
      <c r="M109" s="1"/>
      <c r="N109" s="1"/>
      <c r="O109" s="1"/>
      <c r="P109" s="1"/>
      <c r="Q109" s="1"/>
      <c r="R109" s="2"/>
      <c r="S109" s="2"/>
      <c r="T109" s="2"/>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spans="1:50" ht="18" customHeight="1" x14ac:dyDescent="0.3">
      <c r="A110" s="1"/>
      <c r="B110" s="1"/>
      <c r="C110" s="1"/>
      <c r="D110" s="1"/>
      <c r="E110" s="1"/>
      <c r="F110" s="1"/>
      <c r="G110" s="1"/>
      <c r="H110" s="1"/>
      <c r="I110" s="1"/>
      <c r="J110" s="1"/>
      <c r="K110" s="1"/>
      <c r="L110" s="1"/>
      <c r="M110" s="1"/>
      <c r="N110" s="1"/>
      <c r="O110" s="1"/>
      <c r="P110" s="1"/>
      <c r="Q110" s="1"/>
      <c r="R110" s="2"/>
      <c r="S110" s="2"/>
      <c r="T110" s="2"/>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spans="1:50" ht="18" customHeight="1" collapsed="1" x14ac:dyDescent="0.3">
      <c r="A111" s="1"/>
      <c r="B111" s="1"/>
      <c r="C111" s="1"/>
      <c r="D111" s="1"/>
      <c r="E111" s="1"/>
      <c r="F111" s="1"/>
      <c r="G111" s="1"/>
      <c r="H111" s="1"/>
      <c r="I111" s="1"/>
      <c r="J111" s="1"/>
      <c r="K111" s="1"/>
      <c r="L111" s="1"/>
      <c r="M111" s="1"/>
      <c r="N111" s="1"/>
      <c r="O111" s="1"/>
      <c r="P111" s="1"/>
      <c r="Q111" s="1"/>
      <c r="R111" s="2"/>
      <c r="S111" s="2"/>
      <c r="T111" s="2"/>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spans="1:50" ht="18" customHeight="1" x14ac:dyDescent="0.3">
      <c r="A112" s="1"/>
      <c r="B112" s="1"/>
      <c r="C112" s="1"/>
      <c r="D112" s="1"/>
      <c r="E112" s="1"/>
      <c r="F112" s="1"/>
      <c r="G112" s="1"/>
      <c r="H112" s="1"/>
      <c r="I112" s="1"/>
      <c r="J112" s="1"/>
      <c r="K112" s="1"/>
      <c r="L112" s="1"/>
      <c r="M112" s="1"/>
      <c r="N112" s="1"/>
      <c r="O112" s="1"/>
      <c r="P112" s="1"/>
      <c r="Q112" s="1"/>
      <c r="R112" s="2"/>
      <c r="S112" s="2"/>
      <c r="T112" s="2"/>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spans="1:50" ht="18" customHeight="1" x14ac:dyDescent="0.3">
      <c r="A113" s="1"/>
      <c r="B113" s="1"/>
      <c r="C113" s="1"/>
      <c r="D113" s="1"/>
      <c r="E113" s="1"/>
      <c r="F113" s="1"/>
      <c r="G113" s="1"/>
      <c r="H113" s="1"/>
      <c r="I113" s="1"/>
      <c r="J113" s="1"/>
      <c r="K113" s="1"/>
      <c r="L113" s="1"/>
      <c r="M113" s="1"/>
      <c r="N113" s="1"/>
      <c r="O113" s="1"/>
      <c r="P113" s="1"/>
      <c r="Q113" s="1"/>
      <c r="R113" s="2"/>
      <c r="S113" s="2"/>
      <c r="T113" s="2"/>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spans="1:50" ht="18" customHeight="1" x14ac:dyDescent="0.3">
      <c r="A114" s="1"/>
      <c r="B114" s="1"/>
      <c r="C114" s="1"/>
      <c r="D114" s="1"/>
      <c r="E114" s="1"/>
      <c r="F114" s="1"/>
      <c r="G114" s="1"/>
      <c r="H114" s="1"/>
      <c r="I114" s="1"/>
      <c r="J114" s="1"/>
      <c r="K114" s="1"/>
      <c r="L114" s="1"/>
      <c r="M114" s="1"/>
      <c r="N114" s="1"/>
      <c r="O114" s="1"/>
      <c r="P114" s="1"/>
      <c r="Q114" s="1"/>
      <c r="R114" s="2"/>
      <c r="S114" s="2"/>
      <c r="T114" s="2"/>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spans="1:50" ht="18" customHeight="1" x14ac:dyDescent="0.3">
      <c r="A115" s="1"/>
      <c r="B115" s="1"/>
      <c r="C115" s="1"/>
      <c r="D115" s="1"/>
      <c r="E115" s="1"/>
      <c r="F115" s="1"/>
      <c r="G115" s="1"/>
      <c r="H115" s="1"/>
      <c r="I115" s="1"/>
      <c r="J115" s="1"/>
      <c r="K115" s="1"/>
      <c r="L115" s="1"/>
      <c r="M115" s="1"/>
      <c r="N115" s="1"/>
      <c r="O115" s="1"/>
      <c r="P115" s="1"/>
      <c r="Q115" s="1"/>
      <c r="R115" s="2"/>
      <c r="S115" s="2"/>
      <c r="T115" s="2"/>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spans="1:50" ht="18" customHeight="1" x14ac:dyDescent="0.3">
      <c r="A116" s="1"/>
      <c r="B116" s="1"/>
      <c r="C116" s="1"/>
      <c r="D116" s="1"/>
      <c r="E116" s="1"/>
      <c r="F116" s="1"/>
      <c r="G116" s="1"/>
      <c r="H116" s="1"/>
      <c r="I116" s="1"/>
      <c r="J116" s="1"/>
      <c r="K116" s="1"/>
      <c r="L116" s="1"/>
      <c r="M116" s="1"/>
      <c r="N116" s="1"/>
      <c r="O116" s="1"/>
      <c r="P116" s="1"/>
      <c r="Q116" s="1"/>
      <c r="R116" s="2"/>
      <c r="S116" s="2"/>
      <c r="T116" s="2"/>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spans="1:50" ht="18" customHeight="1" x14ac:dyDescent="0.3">
      <c r="A117" s="1"/>
      <c r="B117" s="21"/>
      <c r="C117" s="11"/>
      <c r="D117" s="11"/>
      <c r="E117" s="11"/>
      <c r="F117" s="11"/>
      <c r="G117" s="11"/>
      <c r="H117" s="11"/>
      <c r="I117" s="11"/>
      <c r="J117" s="11"/>
      <c r="K117" s="11"/>
      <c r="L117" s="11"/>
      <c r="M117" s="11"/>
      <c r="N117" s="11"/>
      <c r="O117" s="11"/>
      <c r="P117" s="11"/>
      <c r="Q117" s="11"/>
      <c r="R117" s="2"/>
      <c r="S117" s="2"/>
      <c r="T117" s="2"/>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spans="1:50" ht="18" customHeight="1" collapsed="1" x14ac:dyDescent="0.3">
      <c r="A118" s="1"/>
      <c r="B118" s="21"/>
      <c r="C118" s="11"/>
      <c r="D118" s="11"/>
      <c r="E118" s="11"/>
      <c r="F118" s="11"/>
      <c r="G118" s="11"/>
      <c r="H118" s="11"/>
      <c r="I118" s="11"/>
      <c r="J118" s="11"/>
      <c r="K118" s="11"/>
      <c r="L118" s="11"/>
      <c r="M118" s="11"/>
      <c r="N118" s="11"/>
      <c r="O118" s="11"/>
      <c r="P118" s="11"/>
      <c r="Q118" s="11"/>
      <c r="R118" s="2"/>
      <c r="S118" s="2"/>
      <c r="T118" s="2"/>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spans="1:50" ht="18" customHeight="1" x14ac:dyDescent="0.3">
      <c r="A119" s="1"/>
      <c r="B119" s="21"/>
      <c r="C119" s="11"/>
      <c r="D119" s="11"/>
      <c r="E119" s="11"/>
      <c r="F119" s="11"/>
      <c r="G119" s="11"/>
      <c r="H119" s="11"/>
      <c r="I119" s="11"/>
      <c r="J119" s="11"/>
      <c r="K119" s="11"/>
      <c r="L119" s="11"/>
      <c r="M119" s="11"/>
      <c r="N119" s="11"/>
      <c r="O119" s="11"/>
      <c r="P119" s="11"/>
      <c r="Q119" s="11"/>
      <c r="R119" s="2"/>
      <c r="S119" s="2"/>
      <c r="T119" s="2"/>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spans="1:50" ht="18" customHeight="1" x14ac:dyDescent="0.3">
      <c r="A120" s="1"/>
      <c r="B120" s="21"/>
      <c r="C120" s="11"/>
      <c r="D120" s="11"/>
      <c r="E120" s="11"/>
      <c r="F120" s="11"/>
      <c r="G120" s="11"/>
      <c r="H120" s="11"/>
      <c r="I120" s="11"/>
      <c r="J120" s="11"/>
      <c r="K120" s="11"/>
      <c r="L120" s="11"/>
      <c r="M120" s="11"/>
      <c r="N120" s="11"/>
      <c r="O120" s="11"/>
      <c r="P120" s="11"/>
      <c r="Q120" s="11"/>
      <c r="R120" s="2"/>
      <c r="S120" s="2"/>
      <c r="T120" s="2"/>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spans="1:50" ht="18" customHeight="1" collapsed="1" x14ac:dyDescent="0.3">
      <c r="A121" s="1"/>
      <c r="B121" s="21"/>
      <c r="C121" s="11"/>
      <c r="D121" s="11"/>
      <c r="E121" s="11"/>
      <c r="F121" s="11"/>
      <c r="G121" s="11"/>
      <c r="H121" s="11"/>
      <c r="I121" s="11"/>
      <c r="J121" s="11"/>
      <c r="K121" s="11"/>
      <c r="L121" s="11"/>
      <c r="M121" s="11"/>
      <c r="N121" s="11"/>
      <c r="O121" s="11"/>
      <c r="P121" s="11"/>
      <c r="Q121" s="11"/>
      <c r="R121" s="2"/>
      <c r="S121" s="2"/>
      <c r="T121" s="2"/>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spans="1:50" ht="18" customHeight="1" x14ac:dyDescent="0.3">
      <c r="A122" s="1"/>
      <c r="B122" s="21"/>
      <c r="C122" s="11"/>
      <c r="D122" s="11"/>
      <c r="E122" s="11"/>
      <c r="F122" s="11"/>
      <c r="G122" s="11"/>
      <c r="H122" s="11"/>
      <c r="I122" s="11"/>
      <c r="J122" s="11"/>
      <c r="K122" s="11"/>
      <c r="L122" s="11"/>
      <c r="M122" s="11"/>
      <c r="N122" s="11"/>
      <c r="O122" s="11"/>
      <c r="P122" s="11"/>
      <c r="Q122" s="11"/>
      <c r="R122" s="2"/>
      <c r="S122" s="2"/>
      <c r="T122" s="2"/>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spans="1:50" ht="18" customHeight="1" x14ac:dyDescent="0.3">
      <c r="A123" s="1"/>
      <c r="B123" s="21"/>
      <c r="C123" s="11"/>
      <c r="D123" s="11"/>
      <c r="E123" s="11"/>
      <c r="F123" s="11"/>
      <c r="G123" s="11"/>
      <c r="H123" s="11"/>
      <c r="I123" s="11"/>
      <c r="J123" s="11"/>
      <c r="K123" s="11"/>
      <c r="L123" s="11"/>
      <c r="M123" s="11"/>
      <c r="N123" s="11"/>
      <c r="O123" s="11"/>
      <c r="P123" s="11"/>
      <c r="Q123" s="11"/>
      <c r="R123" s="2"/>
      <c r="S123" s="2"/>
      <c r="T123" s="2"/>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spans="1:50" ht="18" customHeight="1" x14ac:dyDescent="0.3">
      <c r="A124" s="1"/>
      <c r="B124" s="21"/>
      <c r="C124" s="11"/>
      <c r="D124" s="11"/>
      <c r="E124" s="11"/>
      <c r="F124" s="11"/>
      <c r="G124" s="11"/>
      <c r="H124" s="11"/>
      <c r="I124" s="11"/>
      <c r="J124" s="11"/>
      <c r="K124" s="11"/>
      <c r="L124" s="11"/>
      <c r="M124" s="11"/>
      <c r="N124" s="11"/>
      <c r="O124" s="11"/>
      <c r="P124" s="11"/>
      <c r="Q124" s="11"/>
      <c r="R124" s="2"/>
      <c r="S124" s="2"/>
      <c r="T124" s="2"/>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spans="1:50" ht="18" customHeight="1" x14ac:dyDescent="0.3">
      <c r="A125" s="1"/>
      <c r="B125" s="21"/>
      <c r="C125" s="11"/>
      <c r="D125" s="11"/>
      <c r="E125" s="11"/>
      <c r="F125" s="11"/>
      <c r="G125" s="11"/>
      <c r="H125" s="11"/>
      <c r="I125" s="11"/>
      <c r="J125" s="11"/>
      <c r="K125" s="11"/>
      <c r="L125" s="11"/>
      <c r="M125" s="11"/>
      <c r="N125" s="11"/>
      <c r="O125" s="11"/>
      <c r="P125" s="11"/>
      <c r="Q125" s="11"/>
      <c r="R125" s="2"/>
      <c r="S125" s="2"/>
      <c r="T125" s="2"/>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spans="1:50" ht="18" customHeight="1" x14ac:dyDescent="0.3">
      <c r="A126" s="1"/>
      <c r="B126" s="21"/>
      <c r="C126" s="11"/>
      <c r="D126" s="11"/>
      <c r="E126" s="11"/>
      <c r="F126" s="11"/>
      <c r="G126" s="11"/>
      <c r="H126" s="11"/>
      <c r="I126" s="11"/>
      <c r="J126" s="11"/>
      <c r="K126" s="11"/>
      <c r="L126" s="11"/>
      <c r="M126" s="11"/>
      <c r="N126" s="11"/>
      <c r="O126" s="11"/>
      <c r="P126" s="11"/>
      <c r="Q126" s="11"/>
      <c r="R126" s="2"/>
      <c r="S126" s="2"/>
      <c r="T126" s="2"/>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spans="1:50" ht="18" customHeight="1" collapsed="1" x14ac:dyDescent="0.3">
      <c r="A127" s="1"/>
      <c r="B127" s="21"/>
      <c r="C127" s="11"/>
      <c r="D127" s="11"/>
      <c r="E127" s="11"/>
      <c r="F127" s="11"/>
      <c r="G127" s="11"/>
      <c r="H127" s="11"/>
      <c r="I127" s="11"/>
      <c r="J127" s="11"/>
      <c r="K127" s="11"/>
      <c r="L127" s="11"/>
      <c r="M127" s="11"/>
      <c r="N127" s="11"/>
      <c r="O127" s="11"/>
      <c r="P127" s="11"/>
      <c r="Q127" s="11"/>
      <c r="R127" s="2"/>
      <c r="S127" s="2"/>
      <c r="T127" s="2"/>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spans="1:50" ht="18" customHeight="1" x14ac:dyDescent="0.3">
      <c r="A128" s="1"/>
      <c r="B128" s="21"/>
      <c r="C128" s="11"/>
      <c r="D128" s="11"/>
      <c r="E128" s="11"/>
      <c r="F128" s="11"/>
      <c r="G128" s="11"/>
      <c r="H128" s="11"/>
      <c r="I128" s="11"/>
      <c r="J128" s="11"/>
      <c r="K128" s="11"/>
      <c r="L128" s="11"/>
      <c r="M128" s="11"/>
      <c r="N128" s="11"/>
      <c r="O128" s="11"/>
      <c r="P128" s="11"/>
      <c r="Q128" s="11"/>
      <c r="R128" s="2"/>
      <c r="S128" s="2"/>
      <c r="T128" s="2"/>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spans="1:50" ht="18" customHeight="1" x14ac:dyDescent="0.3">
      <c r="A129" s="1"/>
      <c r="B129" s="21"/>
      <c r="C129" s="11"/>
      <c r="D129" s="11"/>
      <c r="E129" s="11"/>
      <c r="F129" s="11"/>
      <c r="G129" s="11"/>
      <c r="H129" s="11"/>
      <c r="I129" s="11"/>
      <c r="J129" s="11"/>
      <c r="K129" s="11"/>
      <c r="L129" s="11"/>
      <c r="M129" s="11"/>
      <c r="N129" s="11"/>
      <c r="O129" s="11"/>
      <c r="P129" s="11"/>
      <c r="Q129" s="11"/>
      <c r="R129" s="2"/>
      <c r="S129" s="2"/>
      <c r="T129" s="2"/>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spans="1:50" ht="18" customHeight="1" x14ac:dyDescent="0.3">
      <c r="A130" s="1"/>
      <c r="B130" s="21"/>
      <c r="C130" s="11"/>
      <c r="D130" s="11"/>
      <c r="E130" s="11"/>
      <c r="F130" s="11"/>
      <c r="G130" s="11"/>
      <c r="H130" s="11"/>
      <c r="I130" s="11"/>
      <c r="J130" s="11"/>
      <c r="K130" s="11"/>
      <c r="L130" s="11"/>
      <c r="M130" s="11"/>
      <c r="N130" s="11"/>
      <c r="O130" s="11"/>
      <c r="P130" s="11"/>
      <c r="Q130" s="11"/>
      <c r="R130" s="2"/>
      <c r="S130" s="2"/>
      <c r="T130" s="2"/>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spans="1:50" ht="18" customHeight="1" x14ac:dyDescent="0.3">
      <c r="A131" s="1"/>
      <c r="B131" s="21"/>
      <c r="C131" s="11"/>
      <c r="D131" s="11"/>
      <c r="E131" s="11"/>
      <c r="F131" s="11"/>
      <c r="G131" s="11"/>
      <c r="H131" s="11"/>
      <c r="I131" s="11"/>
      <c r="J131" s="11"/>
      <c r="K131" s="11"/>
      <c r="L131" s="11"/>
      <c r="M131" s="11"/>
      <c r="N131" s="11"/>
      <c r="O131" s="11"/>
      <c r="P131" s="11"/>
      <c r="Q131" s="11"/>
      <c r="R131" s="2"/>
      <c r="S131" s="2"/>
      <c r="T131" s="2"/>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spans="1:50" ht="18" customHeight="1" collapsed="1" x14ac:dyDescent="0.3">
      <c r="A132" s="1"/>
      <c r="B132" s="21"/>
      <c r="C132" s="11"/>
      <c r="D132" s="11"/>
      <c r="E132" s="11"/>
      <c r="F132" s="11"/>
      <c r="G132" s="11"/>
      <c r="H132" s="11"/>
      <c r="I132" s="11"/>
      <c r="J132" s="11"/>
      <c r="K132" s="11"/>
      <c r="L132" s="11"/>
      <c r="M132" s="11"/>
      <c r="N132" s="11"/>
      <c r="O132" s="11"/>
      <c r="P132" s="11"/>
      <c r="Q132" s="11"/>
      <c r="R132" s="2"/>
      <c r="S132" s="2"/>
      <c r="T132" s="2"/>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spans="1:50" ht="18" customHeight="1" x14ac:dyDescent="0.3">
      <c r="A133" s="1"/>
      <c r="B133" s="21"/>
      <c r="C133" s="11"/>
      <c r="D133" s="11"/>
      <c r="E133" s="11"/>
      <c r="F133" s="11"/>
      <c r="G133" s="11"/>
      <c r="H133" s="11"/>
      <c r="I133" s="11"/>
      <c r="J133" s="11"/>
      <c r="K133" s="11"/>
      <c r="L133" s="11"/>
      <c r="M133" s="11"/>
      <c r="N133" s="11"/>
      <c r="O133" s="11"/>
      <c r="P133" s="11"/>
      <c r="Q133" s="11"/>
      <c r="R133" s="2"/>
      <c r="S133" s="2"/>
      <c r="T133" s="2"/>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spans="1:50" ht="18" customHeight="1" x14ac:dyDescent="0.3">
      <c r="A134" s="1"/>
      <c r="B134" s="21"/>
      <c r="C134" s="11"/>
      <c r="D134" s="11"/>
      <c r="E134" s="11"/>
      <c r="F134" s="11"/>
      <c r="G134" s="11"/>
      <c r="H134" s="11"/>
      <c r="I134" s="11"/>
      <c r="J134" s="11"/>
      <c r="K134" s="11"/>
      <c r="L134" s="11"/>
      <c r="M134" s="11"/>
      <c r="N134" s="11"/>
      <c r="O134" s="11"/>
      <c r="P134" s="11"/>
      <c r="Q134" s="11"/>
      <c r="R134" s="2"/>
      <c r="S134" s="2"/>
      <c r="T134" s="2"/>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spans="1:50" ht="18" customHeight="1" x14ac:dyDescent="0.3">
      <c r="A135" s="1"/>
      <c r="B135" s="21"/>
      <c r="C135" s="11"/>
      <c r="D135" s="11"/>
      <c r="E135" s="11"/>
      <c r="F135" s="11"/>
      <c r="G135" s="11"/>
      <c r="H135" s="11"/>
      <c r="I135" s="11"/>
      <c r="J135" s="11"/>
      <c r="K135" s="11"/>
      <c r="L135" s="11"/>
      <c r="M135" s="11"/>
      <c r="N135" s="11"/>
      <c r="O135" s="11"/>
      <c r="P135" s="11"/>
      <c r="Q135" s="11"/>
      <c r="R135" s="2"/>
      <c r="S135" s="2"/>
      <c r="T135" s="2"/>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spans="1:50" ht="18" customHeight="1" x14ac:dyDescent="0.3">
      <c r="A136" s="1"/>
      <c r="B136" s="21"/>
      <c r="C136" s="11"/>
      <c r="D136" s="11"/>
      <c r="E136" s="11"/>
      <c r="F136" s="11"/>
      <c r="G136" s="11"/>
      <c r="H136" s="11"/>
      <c r="I136" s="11"/>
      <c r="J136" s="11"/>
      <c r="K136" s="11"/>
      <c r="L136" s="11"/>
      <c r="M136" s="11"/>
      <c r="N136" s="11"/>
      <c r="O136" s="11"/>
      <c r="P136" s="11"/>
      <c r="Q136" s="11"/>
      <c r="R136" s="2"/>
      <c r="S136" s="2"/>
      <c r="T136" s="2"/>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spans="1:50" ht="18" customHeight="1" x14ac:dyDescent="0.3">
      <c r="A137" s="1"/>
      <c r="B137" s="21"/>
      <c r="C137" s="11"/>
      <c r="D137" s="11"/>
      <c r="E137" s="11"/>
      <c r="F137" s="11"/>
      <c r="G137" s="11"/>
      <c r="H137" s="11"/>
      <c r="I137" s="11"/>
      <c r="J137" s="11"/>
      <c r="K137" s="11"/>
      <c r="L137" s="11"/>
      <c r="M137" s="11"/>
      <c r="N137" s="11"/>
      <c r="O137" s="11"/>
      <c r="P137" s="11"/>
      <c r="Q137" s="11"/>
      <c r="R137" s="2"/>
      <c r="S137" s="2"/>
      <c r="T137" s="2"/>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spans="1:50" ht="18" customHeight="1" x14ac:dyDescent="0.3">
      <c r="A138" s="1"/>
      <c r="B138" s="21"/>
      <c r="C138" s="11"/>
      <c r="D138" s="11"/>
      <c r="E138" s="11"/>
      <c r="F138" s="11"/>
      <c r="G138" s="11"/>
      <c r="H138" s="11"/>
      <c r="I138" s="11"/>
      <c r="J138" s="11"/>
      <c r="K138" s="11"/>
      <c r="L138" s="11"/>
      <c r="M138" s="11"/>
      <c r="N138" s="11"/>
      <c r="O138" s="11"/>
      <c r="P138" s="11"/>
      <c r="Q138" s="11"/>
      <c r="R138" s="2"/>
      <c r="S138" s="2"/>
      <c r="T138" s="2"/>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spans="1:50" ht="18" customHeight="1" x14ac:dyDescent="0.3">
      <c r="A139" s="1"/>
      <c r="B139" s="21"/>
      <c r="C139" s="11"/>
      <c r="D139" s="11"/>
      <c r="E139" s="11"/>
      <c r="F139" s="11"/>
      <c r="G139" s="11"/>
      <c r="H139" s="11"/>
      <c r="I139" s="11"/>
      <c r="J139" s="11"/>
      <c r="K139" s="11"/>
      <c r="L139" s="11"/>
      <c r="M139" s="11"/>
      <c r="N139" s="11"/>
      <c r="O139" s="11"/>
      <c r="P139" s="11"/>
      <c r="Q139" s="11"/>
      <c r="R139" s="2"/>
      <c r="S139" s="2"/>
      <c r="T139" s="2"/>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spans="1:50" ht="18" customHeight="1" x14ac:dyDescent="0.3">
      <c r="A140" s="1"/>
      <c r="B140" s="21"/>
      <c r="C140" s="11"/>
      <c r="D140" s="11"/>
      <c r="E140" s="11"/>
      <c r="F140" s="11"/>
      <c r="G140" s="11"/>
      <c r="H140" s="11"/>
      <c r="I140" s="11"/>
      <c r="J140" s="11"/>
      <c r="K140" s="11"/>
      <c r="L140" s="11"/>
      <c r="M140" s="11"/>
      <c r="N140" s="11"/>
      <c r="O140" s="11"/>
      <c r="P140" s="11"/>
      <c r="Q140" s="11"/>
      <c r="R140" s="2"/>
      <c r="S140" s="2"/>
      <c r="T140" s="2"/>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spans="1:50" ht="18" customHeight="1" collapsed="1" x14ac:dyDescent="0.3">
      <c r="A141" s="1"/>
      <c r="B141" s="21"/>
      <c r="C141" s="11"/>
      <c r="D141" s="11"/>
      <c r="E141" s="11"/>
      <c r="F141" s="11"/>
      <c r="G141" s="11"/>
      <c r="H141" s="11"/>
      <c r="I141" s="11"/>
      <c r="J141" s="11"/>
      <c r="K141" s="11"/>
      <c r="L141" s="11"/>
      <c r="M141" s="11"/>
      <c r="N141" s="11"/>
      <c r="O141" s="11"/>
      <c r="P141" s="11"/>
      <c r="Q141" s="11"/>
      <c r="R141" s="2"/>
      <c r="S141" s="2"/>
      <c r="T141" s="2"/>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spans="1:50" ht="18" customHeight="1" x14ac:dyDescent="0.3">
      <c r="A142" s="1"/>
      <c r="B142" s="21"/>
      <c r="C142" s="11"/>
      <c r="D142" s="11"/>
      <c r="E142" s="11"/>
      <c r="F142" s="11"/>
      <c r="G142" s="11"/>
      <c r="H142" s="11"/>
      <c r="I142" s="11"/>
      <c r="J142" s="11"/>
      <c r="K142" s="11"/>
      <c r="L142" s="11"/>
      <c r="M142" s="11"/>
      <c r="N142" s="11"/>
      <c r="O142" s="11"/>
      <c r="P142" s="11"/>
      <c r="Q142" s="11"/>
      <c r="R142" s="2"/>
      <c r="S142" s="2"/>
      <c r="T142" s="2"/>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spans="1:50" ht="18" customHeight="1" x14ac:dyDescent="0.3">
      <c r="A143" s="1"/>
      <c r="B143" s="21"/>
      <c r="C143" s="11"/>
      <c r="D143" s="11"/>
      <c r="E143" s="11"/>
      <c r="F143" s="11"/>
      <c r="G143" s="11"/>
      <c r="H143" s="11"/>
      <c r="I143" s="11"/>
      <c r="J143" s="11"/>
      <c r="K143" s="11"/>
      <c r="L143" s="11"/>
      <c r="M143" s="11"/>
      <c r="N143" s="11"/>
      <c r="O143" s="11"/>
      <c r="P143" s="11"/>
      <c r="Q143" s="11"/>
      <c r="R143" s="2"/>
      <c r="S143" s="2"/>
      <c r="T143" s="2"/>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spans="1:50" ht="18" customHeight="1" collapsed="1" x14ac:dyDescent="0.3">
      <c r="A144" s="1"/>
      <c r="B144" s="21"/>
      <c r="C144" s="2"/>
      <c r="D144" s="2"/>
      <c r="E144" s="2"/>
      <c r="F144" s="2"/>
      <c r="G144" s="2"/>
      <c r="H144" s="2"/>
      <c r="I144" s="2"/>
      <c r="J144" s="2"/>
      <c r="K144" s="2"/>
      <c r="L144" s="2"/>
      <c r="M144" s="2"/>
      <c r="N144" s="2"/>
      <c r="O144" s="2"/>
      <c r="P144" s="2"/>
      <c r="Q144" s="2"/>
      <c r="R144" s="2"/>
      <c r="S144" s="2"/>
      <c r="T144" s="2"/>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spans="1:50" ht="18" customHeight="1" x14ac:dyDescent="0.3">
      <c r="A145" s="1"/>
      <c r="B145" s="21"/>
      <c r="C145" s="18"/>
      <c r="D145" s="18"/>
      <c r="E145" s="18"/>
      <c r="F145" s="18"/>
      <c r="G145" s="18"/>
      <c r="H145" s="18"/>
      <c r="I145" s="18"/>
      <c r="J145" s="18"/>
      <c r="K145" s="18"/>
      <c r="L145" s="18"/>
      <c r="M145" s="18"/>
      <c r="N145" s="18"/>
      <c r="O145" s="18"/>
      <c r="P145" s="18"/>
      <c r="Q145" s="18"/>
      <c r="R145" s="2"/>
      <c r="S145" s="2"/>
      <c r="T145" s="2"/>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spans="1:50" ht="18" customHeight="1" x14ac:dyDescent="0.3">
      <c r="A146" s="1"/>
      <c r="B146" s="21"/>
      <c r="C146" s="11"/>
      <c r="D146" s="11"/>
      <c r="E146" s="11"/>
      <c r="F146" s="11"/>
      <c r="G146" s="11"/>
      <c r="H146" s="11"/>
      <c r="I146" s="11"/>
      <c r="J146" s="11"/>
      <c r="K146" s="11"/>
      <c r="L146" s="11"/>
      <c r="M146" s="11"/>
      <c r="N146" s="11"/>
      <c r="O146" s="11"/>
      <c r="P146" s="11"/>
      <c r="Q146" s="11"/>
      <c r="R146" s="2"/>
      <c r="S146" s="2"/>
      <c r="T146" s="2"/>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spans="1:50" ht="18" customHeight="1" x14ac:dyDescent="0.3">
      <c r="A147" s="1"/>
      <c r="B147" s="21"/>
      <c r="C147" s="11"/>
      <c r="D147" s="11"/>
      <c r="E147" s="11"/>
      <c r="F147" s="11"/>
      <c r="G147" s="11"/>
      <c r="H147" s="11"/>
      <c r="I147" s="11"/>
      <c r="J147" s="11"/>
      <c r="K147" s="11"/>
      <c r="L147" s="11"/>
      <c r="M147" s="11"/>
      <c r="N147" s="11"/>
      <c r="O147" s="11"/>
      <c r="P147" s="11"/>
      <c r="Q147" s="11"/>
      <c r="R147" s="2"/>
      <c r="S147" s="2"/>
      <c r="T147" s="2"/>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spans="1:50" ht="18" customHeight="1" x14ac:dyDescent="0.3">
      <c r="A148" s="1"/>
      <c r="B148" s="21"/>
      <c r="C148" s="11"/>
      <c r="D148" s="11"/>
      <c r="E148" s="11"/>
      <c r="F148" s="11"/>
      <c r="G148" s="11"/>
      <c r="H148" s="11"/>
      <c r="I148" s="11"/>
      <c r="J148" s="11"/>
      <c r="K148" s="11"/>
      <c r="L148" s="11"/>
      <c r="M148" s="11"/>
      <c r="N148" s="11"/>
      <c r="O148" s="11"/>
      <c r="P148" s="11"/>
      <c r="Q148" s="11"/>
      <c r="R148" s="2"/>
      <c r="S148" s="2"/>
      <c r="T148" s="2"/>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spans="1:50" ht="18" customHeight="1" collapsed="1" x14ac:dyDescent="0.3">
      <c r="A149" s="1"/>
      <c r="B149" s="21"/>
      <c r="C149" s="11"/>
      <c r="D149" s="11"/>
      <c r="E149" s="11"/>
      <c r="F149" s="11"/>
      <c r="G149" s="11"/>
      <c r="H149" s="11"/>
      <c r="I149" s="11"/>
      <c r="J149" s="11"/>
      <c r="K149" s="11"/>
      <c r="L149" s="11"/>
      <c r="M149" s="11"/>
      <c r="N149" s="11"/>
      <c r="O149" s="11"/>
      <c r="P149" s="11"/>
      <c r="Q149" s="11"/>
      <c r="R149" s="2"/>
      <c r="S149" s="2"/>
      <c r="T149" s="2"/>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spans="1:50" ht="18" customHeight="1" x14ac:dyDescent="0.3">
      <c r="A150" s="1"/>
      <c r="B150" s="21"/>
      <c r="C150" s="15"/>
      <c r="D150" s="15"/>
      <c r="E150" s="15"/>
      <c r="F150" s="15"/>
      <c r="G150" s="15"/>
      <c r="H150" s="15"/>
      <c r="I150" s="15"/>
      <c r="J150" s="15"/>
      <c r="K150" s="15"/>
      <c r="L150" s="15"/>
      <c r="M150" s="15"/>
      <c r="N150" s="15"/>
      <c r="O150" s="15"/>
      <c r="P150" s="15"/>
      <c r="Q150" s="15"/>
      <c r="R150" s="2"/>
      <c r="S150" s="2"/>
      <c r="T150" s="2"/>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spans="1:50" ht="18" customHeight="1" x14ac:dyDescent="0.3">
      <c r="A151" s="1"/>
      <c r="B151" s="21"/>
      <c r="C151" s="11"/>
      <c r="D151" s="11"/>
      <c r="E151" s="11"/>
      <c r="F151" s="11"/>
      <c r="G151" s="11"/>
      <c r="H151" s="11"/>
      <c r="I151" s="11"/>
      <c r="J151" s="11"/>
      <c r="K151" s="11"/>
      <c r="L151" s="11"/>
      <c r="M151" s="11"/>
      <c r="N151" s="11"/>
      <c r="O151" s="11"/>
      <c r="P151" s="11"/>
      <c r="Q151" s="11"/>
      <c r="R151" s="2"/>
      <c r="S151" s="2"/>
      <c r="T151" s="2"/>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spans="1:50" ht="18" customHeight="1" x14ac:dyDescent="0.3">
      <c r="A152" s="1"/>
      <c r="B152" s="21"/>
      <c r="C152" s="11"/>
      <c r="D152" s="11"/>
      <c r="E152" s="11"/>
      <c r="F152" s="11"/>
      <c r="G152" s="11"/>
      <c r="H152" s="11"/>
      <c r="I152" s="11"/>
      <c r="J152" s="11"/>
      <c r="K152" s="11"/>
      <c r="L152" s="11"/>
      <c r="M152" s="11"/>
      <c r="N152" s="11"/>
      <c r="O152" s="11"/>
      <c r="P152" s="11"/>
      <c r="Q152" s="11"/>
      <c r="R152" s="2"/>
      <c r="S152" s="2"/>
      <c r="T152" s="2"/>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spans="1:50" ht="18" customHeight="1" x14ac:dyDescent="0.3">
      <c r="A153" s="1"/>
      <c r="B153" s="21"/>
      <c r="C153" s="11"/>
      <c r="D153" s="11"/>
      <c r="E153" s="11"/>
      <c r="F153" s="11"/>
      <c r="G153" s="11"/>
      <c r="H153" s="11"/>
      <c r="I153" s="11"/>
      <c r="J153" s="11"/>
      <c r="K153" s="11"/>
      <c r="L153" s="11"/>
      <c r="M153" s="11"/>
      <c r="N153" s="11"/>
      <c r="O153" s="11"/>
      <c r="P153" s="11"/>
      <c r="Q153" s="11"/>
      <c r="R153" s="2"/>
      <c r="S153" s="2"/>
      <c r="T153" s="2"/>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spans="1:50" ht="18" customHeight="1" collapsed="1" x14ac:dyDescent="0.3">
      <c r="A154" s="1"/>
      <c r="B154" s="21"/>
      <c r="C154" s="11"/>
      <c r="D154" s="11"/>
      <c r="E154" s="11"/>
      <c r="F154" s="11"/>
      <c r="G154" s="11"/>
      <c r="H154" s="11"/>
      <c r="I154" s="11"/>
      <c r="J154" s="11"/>
      <c r="K154" s="11"/>
      <c r="L154" s="11"/>
      <c r="M154" s="11"/>
      <c r="N154" s="11"/>
      <c r="O154" s="11"/>
      <c r="P154" s="11"/>
      <c r="Q154" s="11"/>
      <c r="R154" s="2"/>
      <c r="S154" s="2"/>
      <c r="T154" s="2"/>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spans="1:50" ht="18" customHeight="1" x14ac:dyDescent="0.3">
      <c r="A155" s="1"/>
      <c r="B155" s="21"/>
      <c r="C155" s="11"/>
      <c r="D155" s="11"/>
      <c r="E155" s="11"/>
      <c r="F155" s="11"/>
      <c r="G155" s="11"/>
      <c r="H155" s="11"/>
      <c r="I155" s="11"/>
      <c r="J155" s="11"/>
      <c r="K155" s="11"/>
      <c r="L155" s="11"/>
      <c r="M155" s="11"/>
      <c r="N155" s="11"/>
      <c r="O155" s="11"/>
      <c r="P155" s="11"/>
      <c r="Q155" s="11"/>
      <c r="R155" s="2"/>
      <c r="S155" s="2"/>
      <c r="T155" s="2"/>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spans="1:50" ht="18" customHeight="1" x14ac:dyDescent="0.3">
      <c r="A156" s="1"/>
      <c r="B156" s="21"/>
      <c r="C156" s="11"/>
      <c r="D156" s="11"/>
      <c r="E156" s="11"/>
      <c r="F156" s="11"/>
      <c r="G156" s="11"/>
      <c r="H156" s="11"/>
      <c r="I156" s="11"/>
      <c r="J156" s="11"/>
      <c r="K156" s="11"/>
      <c r="L156" s="11"/>
      <c r="M156" s="11"/>
      <c r="N156" s="11"/>
      <c r="O156" s="11"/>
      <c r="P156" s="11"/>
      <c r="Q156" s="11"/>
      <c r="R156" s="2"/>
      <c r="S156" s="2"/>
      <c r="T156" s="2"/>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spans="1:50" ht="18" customHeight="1" x14ac:dyDescent="0.3">
      <c r="A157" s="1"/>
      <c r="B157" s="21"/>
      <c r="C157" s="11"/>
      <c r="D157" s="11"/>
      <c r="E157" s="11"/>
      <c r="F157" s="11"/>
      <c r="G157" s="11"/>
      <c r="H157" s="11"/>
      <c r="I157" s="11"/>
      <c r="J157" s="11"/>
      <c r="K157" s="11"/>
      <c r="L157" s="11"/>
      <c r="M157" s="11"/>
      <c r="N157" s="11"/>
      <c r="O157" s="11"/>
      <c r="P157" s="11"/>
      <c r="Q157" s="11"/>
      <c r="R157" s="2"/>
      <c r="S157" s="2"/>
      <c r="T157" s="2"/>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spans="1:50" ht="18" customHeight="1" x14ac:dyDescent="0.3">
      <c r="A158" s="1"/>
      <c r="B158" s="21"/>
      <c r="C158" s="11"/>
      <c r="D158" s="11"/>
      <c r="E158" s="11"/>
      <c r="F158" s="11"/>
      <c r="G158" s="11"/>
      <c r="H158" s="11"/>
      <c r="I158" s="11"/>
      <c r="J158" s="11"/>
      <c r="K158" s="11"/>
      <c r="L158" s="11"/>
      <c r="M158" s="11"/>
      <c r="N158" s="11"/>
      <c r="O158" s="11"/>
      <c r="P158" s="11"/>
      <c r="Q158" s="11"/>
      <c r="R158" s="2"/>
      <c r="S158" s="2"/>
      <c r="T158" s="2"/>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spans="1:50" ht="18" customHeight="1" collapsed="1" x14ac:dyDescent="0.3">
      <c r="A159" s="1"/>
      <c r="B159" s="21"/>
      <c r="C159" s="2"/>
      <c r="D159" s="2"/>
      <c r="E159" s="2"/>
      <c r="F159" s="2"/>
      <c r="G159" s="2"/>
      <c r="H159" s="2"/>
      <c r="I159" s="2"/>
      <c r="J159" s="2"/>
      <c r="K159" s="2"/>
      <c r="L159" s="2"/>
      <c r="M159" s="2"/>
      <c r="N159" s="2"/>
      <c r="O159" s="2"/>
      <c r="P159" s="2"/>
      <c r="Q159" s="2"/>
      <c r="R159" s="2"/>
      <c r="S159" s="2"/>
      <c r="T159" s="2"/>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spans="1:50" ht="18" customHeight="1" x14ac:dyDescent="0.3">
      <c r="A160" s="1"/>
      <c r="B160" s="21"/>
      <c r="C160" s="18"/>
      <c r="D160" s="18"/>
      <c r="E160" s="18"/>
      <c r="F160" s="18"/>
      <c r="G160" s="18"/>
      <c r="H160" s="18"/>
      <c r="I160" s="18"/>
      <c r="J160" s="18"/>
      <c r="K160" s="18"/>
      <c r="L160" s="18"/>
      <c r="M160" s="18"/>
      <c r="N160" s="18"/>
      <c r="O160" s="18"/>
      <c r="P160" s="18"/>
      <c r="Q160" s="18"/>
      <c r="R160" s="2"/>
      <c r="S160" s="2"/>
      <c r="T160" s="2"/>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spans="1:50" ht="18" customHeight="1" x14ac:dyDescent="0.3">
      <c r="A161" s="1"/>
      <c r="B161" s="21"/>
      <c r="C161" s="11"/>
      <c r="D161" s="11"/>
      <c r="E161" s="11"/>
      <c r="F161" s="11"/>
      <c r="G161" s="11"/>
      <c r="H161" s="11"/>
      <c r="I161" s="11"/>
      <c r="J161" s="11"/>
      <c r="K161" s="11"/>
      <c r="L161" s="11"/>
      <c r="M161" s="11"/>
      <c r="N161" s="11"/>
      <c r="O161" s="11"/>
      <c r="P161" s="11"/>
      <c r="Q161" s="11"/>
      <c r="R161" s="2"/>
      <c r="S161" s="2"/>
      <c r="T161" s="2"/>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spans="1:50" ht="18" customHeight="1" x14ac:dyDescent="0.3">
      <c r="A162" s="1"/>
      <c r="B162" s="21"/>
      <c r="C162" s="11"/>
      <c r="D162" s="11"/>
      <c r="E162" s="11"/>
      <c r="F162" s="11"/>
      <c r="G162" s="11"/>
      <c r="H162" s="11"/>
      <c r="I162" s="11"/>
      <c r="J162" s="11"/>
      <c r="K162" s="11"/>
      <c r="L162" s="11"/>
      <c r="M162" s="11"/>
      <c r="N162" s="11"/>
      <c r="O162" s="11"/>
      <c r="P162" s="11"/>
      <c r="Q162" s="11"/>
      <c r="R162" s="2"/>
      <c r="S162" s="2"/>
      <c r="T162" s="2"/>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spans="1:50" ht="18" customHeight="1" x14ac:dyDescent="0.3">
      <c r="A163" s="1"/>
      <c r="B163" s="21"/>
      <c r="C163" s="15"/>
      <c r="D163" s="15"/>
      <c r="E163" s="15"/>
      <c r="F163" s="15"/>
      <c r="G163" s="15"/>
      <c r="H163" s="15"/>
      <c r="I163" s="15"/>
      <c r="J163" s="15"/>
      <c r="K163" s="15"/>
      <c r="L163" s="15"/>
      <c r="M163" s="15"/>
      <c r="N163" s="15"/>
      <c r="O163" s="15"/>
      <c r="P163" s="15"/>
      <c r="Q163" s="15"/>
      <c r="R163" s="2"/>
      <c r="S163" s="2"/>
      <c r="T163" s="2"/>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spans="1:50" ht="18" customHeight="1" x14ac:dyDescent="0.3">
      <c r="A164" s="1"/>
      <c r="B164" s="21"/>
      <c r="C164" s="11"/>
      <c r="D164" s="11"/>
      <c r="E164" s="11"/>
      <c r="F164" s="11"/>
      <c r="G164" s="11"/>
      <c r="H164" s="11"/>
      <c r="I164" s="11"/>
      <c r="J164" s="11"/>
      <c r="K164" s="11"/>
      <c r="L164" s="11"/>
      <c r="M164" s="11"/>
      <c r="N164" s="11"/>
      <c r="O164" s="11"/>
      <c r="P164" s="11"/>
      <c r="Q164" s="11"/>
      <c r="R164" s="2"/>
      <c r="S164" s="2"/>
      <c r="T164" s="2"/>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spans="1:50" ht="18" customHeight="1" x14ac:dyDescent="0.3">
      <c r="A165" s="1"/>
      <c r="B165" s="21"/>
      <c r="C165" s="11"/>
      <c r="D165" s="11"/>
      <c r="E165" s="11"/>
      <c r="F165" s="11"/>
      <c r="G165" s="11"/>
      <c r="H165" s="11"/>
      <c r="I165" s="11"/>
      <c r="J165" s="11"/>
      <c r="K165" s="11"/>
      <c r="L165" s="11"/>
      <c r="M165" s="11"/>
      <c r="N165" s="11"/>
      <c r="O165" s="11"/>
      <c r="P165" s="11"/>
      <c r="Q165" s="11"/>
      <c r="R165" s="2"/>
      <c r="S165" s="2"/>
      <c r="T165" s="2"/>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spans="1:50" ht="18" customHeight="1" collapsed="1" x14ac:dyDescent="0.3">
      <c r="A166" s="1"/>
      <c r="B166" s="21"/>
      <c r="C166" s="11"/>
      <c r="D166" s="11"/>
      <c r="E166" s="11"/>
      <c r="F166" s="11"/>
      <c r="G166" s="11"/>
      <c r="H166" s="11"/>
      <c r="I166" s="11"/>
      <c r="J166" s="11"/>
      <c r="K166" s="11"/>
      <c r="L166" s="11"/>
      <c r="M166" s="11"/>
      <c r="N166" s="11"/>
      <c r="O166" s="11"/>
      <c r="P166" s="11"/>
      <c r="Q166" s="11"/>
      <c r="R166" s="2"/>
      <c r="S166" s="2"/>
      <c r="T166" s="2"/>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spans="1:50" ht="18" customHeight="1" x14ac:dyDescent="0.3">
      <c r="A167" s="1"/>
      <c r="B167" s="21"/>
      <c r="C167" s="11"/>
      <c r="D167" s="11"/>
      <c r="E167" s="11"/>
      <c r="F167" s="11"/>
      <c r="G167" s="11"/>
      <c r="H167" s="11"/>
      <c r="I167" s="11"/>
      <c r="J167" s="11"/>
      <c r="K167" s="11"/>
      <c r="L167" s="11"/>
      <c r="M167" s="11"/>
      <c r="N167" s="11"/>
      <c r="O167" s="11"/>
      <c r="P167" s="11"/>
      <c r="Q167" s="11"/>
      <c r="R167" s="2"/>
      <c r="S167" s="2"/>
      <c r="T167" s="2"/>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spans="1:50" ht="18" customHeight="1" x14ac:dyDescent="0.3">
      <c r="A168" s="1"/>
      <c r="B168" s="21"/>
      <c r="C168" s="11"/>
      <c r="D168" s="11"/>
      <c r="E168" s="11"/>
      <c r="F168" s="11"/>
      <c r="G168" s="11"/>
      <c r="H168" s="11"/>
      <c r="I168" s="11"/>
      <c r="J168" s="11"/>
      <c r="K168" s="11"/>
      <c r="L168" s="11"/>
      <c r="M168" s="11"/>
      <c r="N168" s="11"/>
      <c r="O168" s="11"/>
      <c r="P168" s="11"/>
      <c r="Q168" s="11"/>
      <c r="R168" s="2"/>
      <c r="S168" s="2"/>
      <c r="T168" s="2"/>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spans="1:50" ht="18" customHeight="1" x14ac:dyDescent="0.3">
      <c r="A169" s="1"/>
      <c r="B169" s="21"/>
      <c r="C169" s="11"/>
      <c r="D169" s="11"/>
      <c r="E169" s="11"/>
      <c r="F169" s="11"/>
      <c r="G169" s="11"/>
      <c r="H169" s="11"/>
      <c r="I169" s="11"/>
      <c r="J169" s="11"/>
      <c r="K169" s="11"/>
      <c r="L169" s="11"/>
      <c r="M169" s="11"/>
      <c r="N169" s="11"/>
      <c r="O169" s="11"/>
      <c r="P169" s="11"/>
      <c r="Q169" s="11"/>
      <c r="R169" s="2"/>
      <c r="S169" s="2"/>
      <c r="T169" s="2"/>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spans="1:50" ht="18" customHeight="1" x14ac:dyDescent="0.3">
      <c r="A170" s="1"/>
      <c r="B170" s="21"/>
      <c r="C170" s="11"/>
      <c r="D170" s="11"/>
      <c r="E170" s="11"/>
      <c r="F170" s="11"/>
      <c r="G170" s="11"/>
      <c r="H170" s="11"/>
      <c r="I170" s="11"/>
      <c r="J170" s="11"/>
      <c r="K170" s="11"/>
      <c r="L170" s="11"/>
      <c r="M170" s="11"/>
      <c r="N170" s="11"/>
      <c r="O170" s="11"/>
      <c r="P170" s="11"/>
      <c r="Q170" s="11"/>
      <c r="R170" s="2"/>
      <c r="S170" s="2"/>
      <c r="T170" s="2"/>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spans="1:50" ht="18" customHeight="1" collapsed="1" x14ac:dyDescent="0.3">
      <c r="A171" s="1"/>
      <c r="B171" s="21"/>
      <c r="C171" s="15"/>
      <c r="D171" s="15"/>
      <c r="E171" s="15"/>
      <c r="F171" s="15"/>
      <c r="G171" s="15"/>
      <c r="H171" s="15"/>
      <c r="I171" s="15"/>
      <c r="J171" s="15"/>
      <c r="K171" s="15"/>
      <c r="L171" s="15"/>
      <c r="M171" s="15"/>
      <c r="N171" s="15"/>
      <c r="O171" s="15"/>
      <c r="P171" s="15"/>
      <c r="Q171" s="15"/>
      <c r="R171" s="2"/>
      <c r="S171" s="2"/>
      <c r="T171" s="2"/>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spans="1:50" ht="18" customHeight="1" x14ac:dyDescent="0.3">
      <c r="A172" s="1"/>
      <c r="B172" s="21"/>
      <c r="C172" s="15"/>
      <c r="D172" s="15"/>
      <c r="E172" s="15"/>
      <c r="F172" s="15"/>
      <c r="G172" s="15"/>
      <c r="H172" s="15"/>
      <c r="I172" s="15"/>
      <c r="J172" s="15"/>
      <c r="K172" s="15"/>
      <c r="L172" s="15"/>
      <c r="M172" s="15"/>
      <c r="N172" s="15"/>
      <c r="O172" s="15"/>
      <c r="P172" s="15"/>
      <c r="Q172" s="15"/>
      <c r="R172" s="2"/>
      <c r="S172" s="2"/>
      <c r="T172" s="2"/>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spans="1:50" ht="18" customHeight="1" x14ac:dyDescent="0.3">
      <c r="A173" s="1"/>
      <c r="B173" s="21"/>
      <c r="C173" s="15"/>
      <c r="D173" s="15"/>
      <c r="E173" s="15"/>
      <c r="F173" s="15"/>
      <c r="G173" s="15"/>
      <c r="H173" s="15"/>
      <c r="I173" s="15"/>
      <c r="J173" s="15"/>
      <c r="K173" s="15"/>
      <c r="L173" s="15"/>
      <c r="M173" s="15"/>
      <c r="N173" s="15"/>
      <c r="O173" s="15"/>
      <c r="P173" s="15"/>
      <c r="Q173" s="15"/>
      <c r="R173" s="2"/>
      <c r="S173" s="2"/>
      <c r="T173" s="2"/>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spans="1:50" ht="18" customHeight="1" x14ac:dyDescent="0.3">
      <c r="A174" s="1"/>
      <c r="B174" s="21"/>
      <c r="C174" s="11"/>
      <c r="D174" s="11"/>
      <c r="E174" s="11"/>
      <c r="F174" s="11"/>
      <c r="G174" s="11"/>
      <c r="H174" s="11"/>
      <c r="I174" s="11"/>
      <c r="J174" s="11"/>
      <c r="K174" s="11"/>
      <c r="L174" s="11"/>
      <c r="M174" s="11"/>
      <c r="N174" s="11"/>
      <c r="O174" s="11"/>
      <c r="P174" s="11"/>
      <c r="Q174" s="11"/>
      <c r="R174" s="2"/>
      <c r="S174" s="2"/>
      <c r="T174" s="2"/>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spans="1:50" x14ac:dyDescent="0.3">
      <c r="A175" s="1"/>
      <c r="B175" s="1"/>
      <c r="C175" s="2"/>
      <c r="D175" s="2"/>
      <c r="E175" s="2"/>
      <c r="F175" s="2"/>
      <c r="G175" s="2"/>
      <c r="H175" s="2"/>
      <c r="I175" s="2"/>
      <c r="J175" s="2"/>
      <c r="K175" s="2"/>
      <c r="L175" s="2"/>
      <c r="M175" s="2"/>
      <c r="N175" s="2"/>
      <c r="O175" s="2"/>
      <c r="P175" s="2"/>
      <c r="Q175" s="2"/>
      <c r="R175" s="2"/>
      <c r="S175" s="2"/>
      <c r="T175" s="2"/>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spans="1:50" x14ac:dyDescent="0.3">
      <c r="A176" s="1"/>
      <c r="B176" s="1"/>
      <c r="C176" s="2"/>
      <c r="D176" s="2"/>
      <c r="E176" s="2"/>
      <c r="F176" s="2"/>
      <c r="G176" s="2"/>
      <c r="H176" s="2"/>
      <c r="I176" s="2"/>
      <c r="J176" s="2"/>
      <c r="K176" s="2"/>
      <c r="L176" s="2"/>
      <c r="M176" s="2"/>
      <c r="N176" s="2"/>
      <c r="O176" s="2"/>
      <c r="P176" s="2"/>
      <c r="Q176" s="2"/>
      <c r="R176" s="2"/>
      <c r="S176" s="2"/>
      <c r="T176" s="2"/>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spans="1:50" x14ac:dyDescent="0.3">
      <c r="A177" s="1"/>
      <c r="B177" s="1"/>
      <c r="C177" s="2"/>
      <c r="D177" s="2"/>
      <c r="E177" s="2"/>
      <c r="F177" s="2"/>
      <c r="G177" s="2"/>
      <c r="H177" s="2"/>
      <c r="I177" s="2"/>
      <c r="J177" s="2"/>
      <c r="K177" s="2"/>
      <c r="L177" s="2"/>
      <c r="M177" s="2"/>
      <c r="N177" s="2"/>
      <c r="O177" s="2"/>
      <c r="P177" s="2"/>
      <c r="Q177" s="2"/>
      <c r="R177" s="2"/>
      <c r="S177" s="2"/>
      <c r="T177" s="2"/>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spans="1:50" x14ac:dyDescent="0.3">
      <c r="A178" s="1"/>
      <c r="B178" s="1"/>
      <c r="C178" s="2"/>
      <c r="D178" s="2"/>
      <c r="E178" s="2"/>
      <c r="F178" s="2"/>
      <c r="G178" s="2"/>
      <c r="H178" s="2"/>
      <c r="I178" s="2"/>
      <c r="J178" s="2"/>
      <c r="K178" s="2"/>
      <c r="L178" s="2"/>
      <c r="M178" s="2"/>
      <c r="N178" s="2"/>
      <c r="O178" s="2"/>
      <c r="P178" s="2"/>
      <c r="Q178" s="2"/>
      <c r="R178" s="2"/>
      <c r="S178" s="2"/>
      <c r="T178" s="2"/>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spans="1:50" x14ac:dyDescent="0.3">
      <c r="A179" s="1"/>
      <c r="B179" s="1"/>
      <c r="C179" s="2"/>
      <c r="D179" s="2"/>
      <c r="E179" s="2"/>
      <c r="F179" s="2"/>
      <c r="G179" s="2"/>
      <c r="H179" s="2"/>
      <c r="I179" s="2"/>
      <c r="J179" s="2"/>
      <c r="K179" s="2"/>
      <c r="L179" s="2"/>
      <c r="M179" s="2"/>
      <c r="N179" s="2"/>
      <c r="O179" s="2"/>
      <c r="P179" s="2"/>
      <c r="Q179" s="2"/>
      <c r="R179" s="2"/>
      <c r="S179" s="2"/>
      <c r="T179" s="2"/>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spans="1:50" x14ac:dyDescent="0.3">
      <c r="A180" s="1"/>
      <c r="B180" s="1"/>
      <c r="C180" s="2"/>
      <c r="D180" s="2"/>
      <c r="E180" s="2"/>
      <c r="F180" s="2"/>
      <c r="G180" s="2"/>
      <c r="H180" s="2"/>
      <c r="I180" s="2"/>
      <c r="J180" s="2"/>
      <c r="K180" s="2"/>
      <c r="L180" s="2"/>
      <c r="M180" s="2"/>
      <c r="N180" s="2"/>
      <c r="O180" s="2"/>
      <c r="P180" s="2"/>
      <c r="Q180" s="2"/>
      <c r="R180" s="2"/>
      <c r="S180" s="2"/>
      <c r="T180" s="2"/>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spans="1:50" x14ac:dyDescent="0.3">
      <c r="A181" s="1"/>
      <c r="B181" s="1"/>
      <c r="C181" s="2"/>
      <c r="D181" s="2"/>
      <c r="E181" s="2"/>
      <c r="F181" s="2"/>
      <c r="G181" s="2"/>
      <c r="H181" s="2"/>
      <c r="I181" s="2"/>
      <c r="J181" s="2"/>
      <c r="K181" s="2"/>
      <c r="L181" s="2"/>
      <c r="M181" s="2"/>
      <c r="N181" s="2"/>
      <c r="O181" s="2"/>
      <c r="P181" s="2"/>
      <c r="Q181" s="2"/>
      <c r="R181" s="2"/>
      <c r="S181" s="2"/>
      <c r="T181" s="2"/>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spans="1:50" x14ac:dyDescent="0.3">
      <c r="A182" s="1"/>
      <c r="B182" s="1"/>
      <c r="C182" s="2"/>
      <c r="D182" s="2"/>
      <c r="E182" s="2"/>
      <c r="F182" s="2"/>
      <c r="G182" s="2"/>
      <c r="H182" s="2"/>
      <c r="I182" s="2"/>
      <c r="J182" s="2"/>
      <c r="K182" s="2"/>
      <c r="L182" s="2"/>
      <c r="M182" s="2"/>
      <c r="N182" s="2"/>
      <c r="O182" s="2"/>
      <c r="P182" s="2"/>
      <c r="Q182" s="2"/>
      <c r="R182" s="2"/>
      <c r="S182" s="2"/>
      <c r="T182" s="2"/>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spans="1:50" x14ac:dyDescent="0.3">
      <c r="A183" s="1"/>
      <c r="B183" s="1"/>
      <c r="C183" s="2"/>
      <c r="D183" s="2"/>
      <c r="E183" s="2"/>
      <c r="F183" s="2"/>
      <c r="G183" s="2"/>
      <c r="H183" s="2"/>
      <c r="I183" s="2"/>
      <c r="J183" s="2"/>
      <c r="K183" s="2"/>
      <c r="L183" s="2"/>
      <c r="M183" s="2"/>
      <c r="N183" s="2"/>
      <c r="O183" s="2"/>
      <c r="P183" s="2"/>
      <c r="Q183" s="2"/>
      <c r="R183" s="2"/>
      <c r="S183" s="2"/>
      <c r="T183" s="2"/>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spans="1:50" x14ac:dyDescent="0.3">
      <c r="A184" s="1"/>
      <c r="B184" s="1"/>
      <c r="C184" s="2"/>
      <c r="D184" s="2"/>
      <c r="E184" s="2"/>
      <c r="F184" s="2"/>
      <c r="G184" s="2"/>
      <c r="H184" s="2"/>
      <c r="I184" s="2"/>
      <c r="J184" s="2"/>
      <c r="K184" s="2"/>
      <c r="L184" s="2"/>
      <c r="M184" s="2"/>
      <c r="N184" s="2"/>
      <c r="O184" s="2"/>
      <c r="P184" s="2"/>
      <c r="Q184" s="2"/>
      <c r="R184" s="2"/>
      <c r="S184" s="2"/>
      <c r="T184" s="2"/>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spans="1:50" x14ac:dyDescent="0.3">
      <c r="A185" s="1"/>
      <c r="B185" s="1"/>
      <c r="C185" s="2"/>
      <c r="D185" s="2"/>
      <c r="E185" s="2"/>
      <c r="F185" s="2"/>
      <c r="G185" s="2"/>
      <c r="H185" s="2"/>
      <c r="I185" s="2"/>
      <c r="J185" s="2"/>
      <c r="K185" s="2"/>
      <c r="L185" s="2"/>
      <c r="M185" s="2"/>
      <c r="N185" s="2"/>
      <c r="O185" s="2"/>
      <c r="P185" s="2"/>
      <c r="Q185" s="2"/>
      <c r="R185" s="2"/>
      <c r="S185" s="2"/>
      <c r="T185" s="2"/>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spans="1:50" x14ac:dyDescent="0.3">
      <c r="A186" s="1"/>
      <c r="B186" s="1"/>
      <c r="C186" s="2"/>
      <c r="D186" s="2"/>
      <c r="E186" s="2"/>
      <c r="F186" s="2"/>
      <c r="G186" s="2"/>
      <c r="H186" s="2"/>
      <c r="I186" s="2"/>
      <c r="J186" s="2"/>
      <c r="K186" s="2"/>
      <c r="L186" s="2"/>
      <c r="M186" s="2"/>
      <c r="N186" s="2"/>
      <c r="O186" s="2"/>
      <c r="P186" s="2"/>
      <c r="Q186" s="2"/>
      <c r="R186" s="2"/>
      <c r="S186" s="2"/>
      <c r="T186" s="2"/>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spans="1:50" x14ac:dyDescent="0.3">
      <c r="A187" s="1"/>
      <c r="B187" s="1"/>
      <c r="C187" s="2"/>
      <c r="D187" s="2"/>
      <c r="E187" s="2"/>
      <c r="F187" s="2"/>
      <c r="G187" s="2"/>
      <c r="H187" s="2"/>
      <c r="I187" s="2"/>
      <c r="J187" s="2"/>
      <c r="K187" s="2"/>
      <c r="L187" s="2"/>
      <c r="M187" s="2"/>
      <c r="N187" s="2"/>
      <c r="O187" s="2"/>
      <c r="P187" s="2"/>
      <c r="Q187" s="2"/>
      <c r="R187" s="2"/>
      <c r="S187" s="2"/>
      <c r="T187" s="2"/>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spans="1:50" x14ac:dyDescent="0.3">
      <c r="A188" s="1"/>
      <c r="B188" s="1"/>
      <c r="C188" s="2"/>
      <c r="D188" s="2"/>
      <c r="E188" s="2"/>
      <c r="F188" s="2"/>
      <c r="G188" s="2"/>
      <c r="H188" s="2"/>
      <c r="I188" s="2"/>
      <c r="J188" s="2"/>
      <c r="K188" s="2"/>
      <c r="L188" s="2"/>
      <c r="M188" s="2"/>
      <c r="N188" s="2"/>
      <c r="O188" s="2"/>
      <c r="P188" s="2"/>
      <c r="Q188" s="2"/>
      <c r="R188" s="2"/>
      <c r="S188" s="2"/>
      <c r="T188" s="2"/>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spans="1:50" x14ac:dyDescent="0.3">
      <c r="A189" s="1"/>
      <c r="B189" s="1"/>
      <c r="C189" s="2"/>
      <c r="D189" s="2"/>
      <c r="E189" s="2"/>
      <c r="F189" s="2"/>
      <c r="G189" s="2"/>
      <c r="H189" s="2"/>
      <c r="I189" s="2"/>
      <c r="J189" s="2"/>
      <c r="K189" s="2"/>
      <c r="L189" s="2"/>
      <c r="M189" s="2"/>
      <c r="N189" s="2"/>
      <c r="O189" s="2"/>
      <c r="P189" s="2"/>
      <c r="Q189" s="2"/>
      <c r="R189" s="2"/>
      <c r="S189" s="2"/>
      <c r="T189" s="2"/>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spans="1:50" x14ac:dyDescent="0.3">
      <c r="A190" s="1"/>
      <c r="B190" s="1"/>
      <c r="C190" s="2"/>
      <c r="D190" s="2"/>
      <c r="E190" s="2"/>
      <c r="F190" s="2"/>
      <c r="G190" s="2"/>
      <c r="H190" s="2"/>
      <c r="I190" s="2"/>
      <c r="J190" s="2"/>
      <c r="K190" s="2"/>
      <c r="L190" s="2"/>
      <c r="M190" s="2"/>
      <c r="N190" s="2"/>
      <c r="O190" s="2"/>
      <c r="P190" s="2"/>
      <c r="Q190" s="2"/>
      <c r="R190" s="2"/>
      <c r="S190" s="2"/>
      <c r="T190" s="2"/>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spans="1:50" x14ac:dyDescent="0.3">
      <c r="A191" s="1"/>
      <c r="B191" s="1"/>
      <c r="C191" s="2"/>
      <c r="D191" s="2"/>
      <c r="E191" s="2"/>
      <c r="F191" s="2"/>
      <c r="G191" s="2"/>
      <c r="H191" s="2"/>
      <c r="I191" s="2"/>
      <c r="J191" s="2"/>
      <c r="K191" s="2"/>
      <c r="L191" s="2"/>
      <c r="M191" s="2"/>
      <c r="N191" s="2"/>
      <c r="O191" s="2"/>
      <c r="P191" s="2"/>
      <c r="Q191" s="2"/>
      <c r="R191" s="2"/>
      <c r="S191" s="2"/>
      <c r="T191" s="2"/>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spans="1:50" x14ac:dyDescent="0.3">
      <c r="A192" s="1"/>
      <c r="B192" s="1"/>
      <c r="C192" s="2"/>
      <c r="D192" s="2"/>
      <c r="E192" s="2"/>
      <c r="F192" s="2"/>
      <c r="G192" s="2"/>
      <c r="H192" s="2"/>
      <c r="I192" s="2"/>
      <c r="J192" s="2"/>
      <c r="K192" s="2"/>
      <c r="L192" s="2"/>
      <c r="M192" s="2"/>
      <c r="N192" s="2"/>
      <c r="O192" s="2"/>
      <c r="P192" s="2"/>
      <c r="Q192" s="2"/>
      <c r="R192" s="2"/>
      <c r="S192" s="2"/>
      <c r="T192" s="2"/>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spans="1:50" x14ac:dyDescent="0.3">
      <c r="A193" s="1"/>
      <c r="B193" s="1"/>
      <c r="C193" s="2"/>
      <c r="D193" s="2"/>
      <c r="E193" s="2"/>
      <c r="F193" s="2"/>
      <c r="G193" s="2"/>
      <c r="H193" s="2"/>
      <c r="I193" s="2"/>
      <c r="J193" s="2"/>
      <c r="K193" s="2"/>
      <c r="L193" s="2"/>
      <c r="M193" s="2"/>
      <c r="N193" s="2"/>
      <c r="O193" s="2"/>
      <c r="P193" s="2"/>
      <c r="Q193" s="2"/>
      <c r="R193" s="2"/>
      <c r="S193" s="2"/>
      <c r="T193" s="2"/>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spans="1:50" x14ac:dyDescent="0.3">
      <c r="A194" s="1"/>
      <c r="B194" s="1"/>
      <c r="C194" s="2"/>
      <c r="D194" s="2"/>
      <c r="E194" s="2"/>
      <c r="F194" s="2"/>
      <c r="G194" s="2"/>
      <c r="H194" s="2"/>
      <c r="I194" s="2"/>
      <c r="J194" s="2"/>
      <c r="K194" s="2"/>
      <c r="L194" s="2"/>
      <c r="M194" s="2"/>
      <c r="N194" s="2"/>
      <c r="O194" s="2"/>
      <c r="P194" s="2"/>
      <c r="Q194" s="2"/>
      <c r="R194" s="2"/>
      <c r="S194" s="2"/>
      <c r="T194" s="2"/>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spans="1:50" x14ac:dyDescent="0.3">
      <c r="A195" s="1"/>
      <c r="B195" s="1"/>
      <c r="C195" s="2"/>
      <c r="D195" s="2"/>
      <c r="E195" s="2"/>
      <c r="F195" s="2"/>
      <c r="G195" s="2"/>
      <c r="H195" s="2"/>
      <c r="I195" s="2"/>
      <c r="J195" s="2"/>
      <c r="K195" s="2"/>
      <c r="L195" s="2"/>
      <c r="M195" s="2"/>
      <c r="N195" s="2"/>
      <c r="O195" s="2"/>
      <c r="P195" s="2"/>
      <c r="Q195" s="2"/>
      <c r="R195" s="2"/>
      <c r="S195" s="2"/>
      <c r="T195" s="2"/>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spans="1:50" x14ac:dyDescent="0.3">
      <c r="A196" s="1"/>
      <c r="B196" s="1"/>
      <c r="C196" s="2"/>
      <c r="D196" s="2"/>
      <c r="E196" s="2"/>
      <c r="F196" s="2"/>
      <c r="G196" s="2"/>
      <c r="H196" s="2"/>
      <c r="I196" s="2"/>
      <c r="J196" s="2"/>
      <c r="K196" s="2"/>
      <c r="L196" s="2"/>
      <c r="M196" s="2"/>
      <c r="N196" s="2"/>
      <c r="O196" s="2"/>
      <c r="P196" s="2"/>
      <c r="Q196" s="2"/>
      <c r="R196" s="2"/>
      <c r="S196" s="2"/>
      <c r="T196" s="2"/>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spans="1:50" x14ac:dyDescent="0.3">
      <c r="A197" s="1"/>
      <c r="B197" s="1"/>
      <c r="C197" s="2"/>
      <c r="D197" s="2"/>
      <c r="E197" s="2"/>
      <c r="F197" s="2"/>
      <c r="G197" s="2"/>
      <c r="H197" s="2"/>
      <c r="I197" s="2"/>
      <c r="J197" s="2"/>
      <c r="K197" s="2"/>
      <c r="L197" s="2"/>
      <c r="M197" s="2"/>
      <c r="N197" s="2"/>
      <c r="O197" s="2"/>
      <c r="P197" s="2"/>
      <c r="Q197" s="2"/>
      <c r="R197" s="2"/>
      <c r="S197" s="2"/>
      <c r="T197" s="2"/>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spans="1:50" x14ac:dyDescent="0.3">
      <c r="A198" s="1"/>
      <c r="B198" s="1"/>
      <c r="C198" s="2"/>
      <c r="D198" s="2"/>
      <c r="E198" s="2"/>
      <c r="F198" s="2"/>
      <c r="G198" s="2"/>
      <c r="H198" s="2"/>
      <c r="I198" s="2"/>
      <c r="J198" s="2"/>
      <c r="K198" s="2"/>
      <c r="L198" s="2"/>
      <c r="M198" s="2"/>
      <c r="N198" s="2"/>
      <c r="O198" s="2"/>
      <c r="P198" s="2"/>
      <c r="Q198" s="2"/>
      <c r="R198" s="2"/>
      <c r="S198" s="2"/>
      <c r="T198" s="2"/>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spans="1:50" x14ac:dyDescent="0.3">
      <c r="A199" s="1"/>
      <c r="B199" s="1"/>
      <c r="C199" s="2"/>
      <c r="D199" s="2"/>
      <c r="E199" s="2"/>
      <c r="F199" s="2"/>
      <c r="G199" s="2"/>
      <c r="H199" s="2"/>
      <c r="I199" s="2"/>
      <c r="J199" s="2"/>
      <c r="K199" s="2"/>
      <c r="L199" s="2"/>
      <c r="M199" s="2"/>
      <c r="N199" s="2"/>
      <c r="O199" s="2"/>
      <c r="P199" s="2"/>
      <c r="Q199" s="2"/>
      <c r="R199" s="2"/>
      <c r="S199" s="2"/>
      <c r="T199" s="2"/>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spans="1:50" x14ac:dyDescent="0.3">
      <c r="A200" s="1"/>
      <c r="B200" s="1"/>
      <c r="C200" s="2"/>
      <c r="D200" s="2"/>
      <c r="E200" s="2"/>
      <c r="F200" s="2"/>
      <c r="G200" s="2"/>
      <c r="H200" s="2"/>
      <c r="I200" s="2"/>
      <c r="J200" s="2"/>
      <c r="K200" s="2"/>
      <c r="L200" s="2"/>
      <c r="M200" s="2"/>
      <c r="N200" s="2"/>
      <c r="O200" s="2"/>
      <c r="P200" s="2"/>
      <c r="Q200" s="2"/>
      <c r="R200" s="2"/>
      <c r="S200" s="2"/>
      <c r="T200" s="2"/>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spans="1:50" x14ac:dyDescent="0.3">
      <c r="A201" s="1"/>
      <c r="B201" s="1"/>
      <c r="C201" s="2"/>
      <c r="D201" s="2"/>
      <c r="E201" s="2"/>
      <c r="F201" s="2"/>
      <c r="G201" s="2"/>
      <c r="H201" s="2"/>
      <c r="I201" s="2"/>
      <c r="J201" s="2"/>
      <c r="K201" s="2"/>
      <c r="L201" s="2"/>
      <c r="M201" s="2"/>
      <c r="N201" s="2"/>
      <c r="O201" s="2"/>
      <c r="P201" s="2"/>
      <c r="Q201" s="2"/>
      <c r="R201" s="2"/>
      <c r="S201" s="2"/>
      <c r="T201" s="2"/>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spans="1:50" x14ac:dyDescent="0.3">
      <c r="A202" s="1"/>
      <c r="B202" s="1"/>
      <c r="C202" s="2"/>
      <c r="D202" s="2"/>
      <c r="E202" s="2"/>
      <c r="F202" s="2"/>
      <c r="G202" s="2"/>
      <c r="H202" s="2"/>
      <c r="I202" s="2"/>
      <c r="J202" s="2"/>
      <c r="K202" s="2"/>
      <c r="L202" s="2"/>
      <c r="M202" s="2"/>
      <c r="N202" s="2"/>
      <c r="O202" s="2"/>
      <c r="P202" s="2"/>
      <c r="Q202" s="2"/>
      <c r="R202" s="2"/>
      <c r="S202" s="2"/>
      <c r="T202" s="2"/>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spans="1:50" x14ac:dyDescent="0.3">
      <c r="A203" s="1"/>
      <c r="B203" s="1"/>
      <c r="C203" s="2"/>
      <c r="D203" s="2"/>
      <c r="E203" s="2"/>
      <c r="F203" s="2"/>
      <c r="G203" s="2"/>
      <c r="H203" s="2"/>
      <c r="I203" s="2"/>
      <c r="J203" s="2"/>
      <c r="K203" s="2"/>
      <c r="L203" s="2"/>
      <c r="M203" s="2"/>
      <c r="N203" s="2"/>
      <c r="O203" s="2"/>
      <c r="P203" s="2"/>
      <c r="Q203" s="2"/>
      <c r="R203" s="2"/>
      <c r="S203" s="2"/>
      <c r="T203" s="2"/>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spans="1:50" x14ac:dyDescent="0.3">
      <c r="A204" s="1"/>
      <c r="B204" s="1"/>
      <c r="C204" s="2"/>
      <c r="D204" s="2"/>
      <c r="E204" s="2"/>
      <c r="F204" s="2"/>
      <c r="G204" s="2"/>
      <c r="H204" s="2"/>
      <c r="I204" s="2"/>
      <c r="J204" s="2"/>
      <c r="K204" s="2"/>
      <c r="L204" s="2"/>
      <c r="M204" s="2"/>
      <c r="N204" s="2"/>
      <c r="O204" s="2"/>
      <c r="P204" s="2"/>
      <c r="Q204" s="2"/>
      <c r="R204" s="2"/>
      <c r="S204" s="2"/>
      <c r="T204" s="2"/>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spans="1:50" x14ac:dyDescent="0.3">
      <c r="A205" s="1"/>
      <c r="B205" s="1"/>
      <c r="C205" s="2"/>
      <c r="D205" s="2"/>
      <c r="E205" s="2"/>
      <c r="F205" s="2"/>
      <c r="G205" s="2"/>
      <c r="H205" s="2"/>
      <c r="I205" s="2"/>
      <c r="J205" s="2"/>
      <c r="K205" s="2"/>
      <c r="L205" s="2"/>
      <c r="M205" s="2"/>
      <c r="N205" s="2"/>
      <c r="O205" s="2"/>
      <c r="P205" s="2"/>
      <c r="Q205" s="2"/>
      <c r="R205" s="2"/>
      <c r="S205" s="2"/>
      <c r="T205" s="2"/>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spans="1:50" x14ac:dyDescent="0.3">
      <c r="A206" s="1"/>
      <c r="B206" s="1"/>
      <c r="C206" s="2"/>
      <c r="D206" s="2"/>
      <c r="E206" s="2"/>
      <c r="F206" s="2"/>
      <c r="G206" s="2"/>
      <c r="H206" s="2"/>
      <c r="I206" s="2"/>
      <c r="J206" s="2"/>
      <c r="K206" s="2"/>
      <c r="L206" s="2"/>
      <c r="M206" s="2"/>
      <c r="N206" s="2"/>
      <c r="O206" s="2"/>
      <c r="P206" s="2"/>
      <c r="Q206" s="2"/>
      <c r="R206" s="2"/>
      <c r="S206" s="2"/>
      <c r="T206" s="2"/>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spans="1:50" x14ac:dyDescent="0.3">
      <c r="A207" s="1"/>
      <c r="B207" s="1"/>
      <c r="C207" s="2"/>
      <c r="D207" s="2"/>
      <c r="E207" s="2"/>
      <c r="F207" s="2"/>
      <c r="G207" s="2"/>
      <c r="H207" s="2"/>
      <c r="I207" s="2"/>
      <c r="J207" s="2"/>
      <c r="K207" s="2"/>
      <c r="L207" s="2"/>
      <c r="M207" s="2"/>
      <c r="N207" s="2"/>
      <c r="O207" s="2"/>
      <c r="P207" s="2"/>
      <c r="Q207" s="2"/>
      <c r="R207" s="2"/>
      <c r="S207" s="2"/>
      <c r="T207" s="2"/>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spans="1:50" x14ac:dyDescent="0.3">
      <c r="A208" s="1"/>
      <c r="B208" s="1"/>
      <c r="C208" s="2"/>
      <c r="D208" s="2"/>
      <c r="E208" s="2"/>
      <c r="F208" s="2"/>
      <c r="G208" s="2"/>
      <c r="H208" s="2"/>
      <c r="I208" s="2"/>
      <c r="J208" s="2"/>
      <c r="K208" s="2"/>
      <c r="L208" s="2"/>
      <c r="M208" s="2"/>
      <c r="N208" s="2"/>
      <c r="O208" s="2"/>
      <c r="P208" s="2"/>
      <c r="Q208" s="2"/>
      <c r="R208" s="2"/>
      <c r="S208" s="2"/>
      <c r="T208" s="2"/>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spans="1:50" x14ac:dyDescent="0.3">
      <c r="A209" s="1"/>
      <c r="B209" s="1"/>
      <c r="C209" s="2"/>
      <c r="D209" s="2"/>
      <c r="E209" s="2"/>
      <c r="F209" s="2"/>
      <c r="G209" s="2"/>
      <c r="H209" s="2"/>
      <c r="I209" s="2"/>
      <c r="J209" s="2"/>
      <c r="K209" s="2"/>
      <c r="L209" s="2"/>
      <c r="M209" s="2"/>
      <c r="N209" s="2"/>
      <c r="O209" s="2"/>
      <c r="P209" s="2"/>
      <c r="Q209" s="2"/>
      <c r="R209" s="2"/>
      <c r="S209" s="2"/>
      <c r="T209" s="2"/>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spans="1:50" x14ac:dyDescent="0.3">
      <c r="A210" s="1"/>
      <c r="B210" s="1"/>
      <c r="C210" s="2"/>
      <c r="D210" s="2"/>
      <c r="E210" s="2"/>
      <c r="F210" s="2"/>
      <c r="G210" s="2"/>
      <c r="H210" s="2"/>
      <c r="I210" s="2"/>
      <c r="J210" s="2"/>
      <c r="K210" s="2"/>
      <c r="L210" s="2"/>
      <c r="M210" s="2"/>
      <c r="N210" s="2"/>
      <c r="O210" s="2"/>
      <c r="P210" s="2"/>
      <c r="Q210" s="2"/>
      <c r="R210" s="2"/>
      <c r="S210" s="2"/>
      <c r="T210" s="2"/>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spans="1:50" x14ac:dyDescent="0.3">
      <c r="A211" s="1"/>
      <c r="B211" s="1"/>
      <c r="C211" s="2"/>
      <c r="D211" s="2"/>
      <c r="E211" s="2"/>
      <c r="F211" s="2"/>
      <c r="G211" s="2"/>
      <c r="H211" s="2"/>
      <c r="I211" s="2"/>
      <c r="J211" s="2"/>
      <c r="K211" s="2"/>
      <c r="L211" s="2"/>
      <c r="M211" s="2"/>
      <c r="N211" s="2"/>
      <c r="O211" s="2"/>
      <c r="P211" s="2"/>
      <c r="Q211" s="2"/>
      <c r="R211" s="2"/>
      <c r="S211" s="2"/>
      <c r="T211" s="2"/>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spans="1:50" x14ac:dyDescent="0.3">
      <c r="A212" s="1"/>
      <c r="B212" s="1"/>
      <c r="C212" s="2"/>
      <c r="D212" s="2"/>
      <c r="E212" s="2"/>
      <c r="F212" s="2"/>
      <c r="G212" s="2"/>
      <c r="H212" s="2"/>
      <c r="I212" s="2"/>
      <c r="J212" s="2"/>
      <c r="K212" s="2"/>
      <c r="L212" s="2"/>
      <c r="M212" s="2"/>
      <c r="N212" s="2"/>
      <c r="O212" s="2"/>
      <c r="P212" s="2"/>
      <c r="Q212" s="2"/>
      <c r="R212" s="2"/>
      <c r="S212" s="2"/>
      <c r="T212" s="2"/>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spans="1:50" x14ac:dyDescent="0.3">
      <c r="A213" s="1"/>
      <c r="B213" s="1"/>
      <c r="C213" s="2"/>
      <c r="D213" s="2"/>
      <c r="E213" s="2"/>
      <c r="F213" s="2"/>
      <c r="G213" s="2"/>
      <c r="H213" s="2"/>
      <c r="I213" s="2"/>
      <c r="J213" s="2"/>
      <c r="K213" s="2"/>
      <c r="L213" s="2"/>
      <c r="M213" s="2"/>
      <c r="N213" s="2"/>
      <c r="O213" s="2"/>
      <c r="P213" s="2"/>
      <c r="Q213" s="2"/>
      <c r="R213" s="2"/>
      <c r="S213" s="2"/>
      <c r="T213" s="2"/>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spans="1:50" x14ac:dyDescent="0.3">
      <c r="A214" s="1"/>
      <c r="B214" s="1"/>
      <c r="C214" s="2"/>
      <c r="D214" s="2"/>
      <c r="E214" s="2"/>
      <c r="F214" s="2"/>
      <c r="G214" s="2"/>
      <c r="H214" s="2"/>
      <c r="I214" s="2"/>
      <c r="J214" s="2"/>
      <c r="K214" s="2"/>
      <c r="L214" s="2"/>
      <c r="M214" s="2"/>
      <c r="N214" s="2"/>
      <c r="O214" s="2"/>
      <c r="P214" s="2"/>
      <c r="Q214" s="2"/>
      <c r="R214" s="2"/>
      <c r="S214" s="2"/>
      <c r="T214" s="2"/>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spans="1:50" x14ac:dyDescent="0.3">
      <c r="A215" s="1"/>
      <c r="B215" s="1"/>
      <c r="C215" s="2"/>
      <c r="D215" s="2"/>
      <c r="E215" s="2"/>
      <c r="F215" s="2"/>
      <c r="G215" s="2"/>
      <c r="H215" s="2"/>
      <c r="I215" s="2"/>
      <c r="J215" s="2"/>
      <c r="K215" s="2"/>
      <c r="L215" s="2"/>
      <c r="M215" s="2"/>
      <c r="N215" s="2"/>
      <c r="O215" s="2"/>
      <c r="P215" s="2"/>
      <c r="Q215" s="2"/>
      <c r="R215" s="2"/>
      <c r="S215" s="2"/>
      <c r="T215" s="2"/>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spans="1:50" x14ac:dyDescent="0.3">
      <c r="A216" s="1"/>
      <c r="B216" s="1"/>
      <c r="C216" s="2"/>
      <c r="D216" s="2"/>
      <c r="E216" s="2"/>
      <c r="F216" s="2"/>
      <c r="G216" s="2"/>
      <c r="H216" s="2"/>
      <c r="I216" s="2"/>
      <c r="J216" s="2"/>
      <c r="K216" s="2"/>
      <c r="L216" s="2"/>
      <c r="M216" s="2"/>
      <c r="N216" s="2"/>
      <c r="O216" s="2"/>
      <c r="P216" s="2"/>
      <c r="Q216" s="2"/>
      <c r="R216" s="2"/>
      <c r="S216" s="2"/>
      <c r="T216" s="2"/>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spans="1:50" x14ac:dyDescent="0.3">
      <c r="A217" s="1"/>
      <c r="B217" s="1"/>
      <c r="C217" s="2"/>
      <c r="D217" s="2"/>
      <c r="E217" s="2"/>
      <c r="F217" s="2"/>
      <c r="G217" s="2"/>
      <c r="H217" s="2"/>
      <c r="I217" s="2"/>
      <c r="J217" s="2"/>
      <c r="K217" s="2"/>
      <c r="L217" s="2"/>
      <c r="M217" s="2"/>
      <c r="N217" s="2"/>
      <c r="O217" s="2"/>
      <c r="P217" s="2"/>
      <c r="Q217" s="2"/>
      <c r="R217" s="2"/>
      <c r="S217" s="2"/>
      <c r="T217" s="2"/>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spans="1:50" x14ac:dyDescent="0.3">
      <c r="A218" s="1"/>
      <c r="B218" s="1"/>
      <c r="C218" s="2"/>
      <c r="D218" s="2"/>
      <c r="E218" s="2"/>
      <c r="F218" s="2"/>
      <c r="G218" s="2"/>
      <c r="H218" s="2"/>
      <c r="I218" s="2"/>
      <c r="J218" s="2"/>
      <c r="K218" s="2"/>
      <c r="L218" s="2"/>
      <c r="M218" s="2"/>
      <c r="N218" s="2"/>
      <c r="O218" s="2"/>
      <c r="P218" s="2"/>
      <c r="Q218" s="2"/>
      <c r="R218" s="2"/>
      <c r="S218" s="2"/>
      <c r="T218" s="2"/>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spans="1:50" x14ac:dyDescent="0.3">
      <c r="A219" s="1"/>
      <c r="B219" s="1"/>
      <c r="C219" s="2"/>
      <c r="D219" s="2"/>
      <c r="E219" s="2"/>
      <c r="F219" s="2"/>
      <c r="G219" s="2"/>
      <c r="H219" s="2"/>
      <c r="I219" s="2"/>
      <c r="J219" s="2"/>
      <c r="K219" s="2"/>
      <c r="L219" s="2"/>
      <c r="M219" s="2"/>
      <c r="N219" s="2"/>
      <c r="O219" s="2"/>
      <c r="P219" s="2"/>
      <c r="Q219" s="2"/>
      <c r="R219" s="2"/>
      <c r="S219" s="2"/>
      <c r="T219" s="2"/>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spans="1:50" x14ac:dyDescent="0.3">
      <c r="A220" s="1"/>
      <c r="B220" s="1"/>
      <c r="C220" s="2"/>
      <c r="D220" s="2"/>
      <c r="E220" s="2"/>
      <c r="F220" s="2"/>
      <c r="G220" s="2"/>
      <c r="H220" s="2"/>
      <c r="I220" s="2"/>
      <c r="J220" s="2"/>
      <c r="K220" s="2"/>
      <c r="L220" s="2"/>
      <c r="M220" s="2"/>
      <c r="N220" s="2"/>
      <c r="O220" s="2"/>
      <c r="P220" s="2"/>
      <c r="Q220" s="2"/>
      <c r="R220" s="2"/>
      <c r="S220" s="2"/>
      <c r="T220" s="2"/>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spans="1:50" x14ac:dyDescent="0.3">
      <c r="A221" s="1"/>
      <c r="B221" s="1"/>
      <c r="C221" s="2"/>
      <c r="D221" s="2"/>
      <c r="E221" s="2"/>
      <c r="F221" s="2"/>
      <c r="G221" s="2"/>
      <c r="H221" s="2"/>
      <c r="I221" s="2"/>
      <c r="J221" s="2"/>
      <c r="K221" s="2"/>
      <c r="L221" s="2"/>
      <c r="M221" s="2"/>
      <c r="N221" s="2"/>
      <c r="O221" s="2"/>
      <c r="P221" s="2"/>
      <c r="Q221" s="2"/>
      <c r="R221" s="2"/>
      <c r="S221" s="2"/>
      <c r="T221" s="2"/>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spans="1:50" x14ac:dyDescent="0.3">
      <c r="A222" s="1"/>
      <c r="B222" s="1"/>
      <c r="C222" s="2"/>
      <c r="D222" s="2"/>
      <c r="E222" s="2"/>
      <c r="F222" s="2"/>
      <c r="G222" s="2"/>
      <c r="H222" s="2"/>
      <c r="I222" s="2"/>
      <c r="J222" s="2"/>
      <c r="K222" s="2"/>
      <c r="L222" s="2"/>
      <c r="M222" s="2"/>
      <c r="N222" s="2"/>
      <c r="O222" s="2"/>
      <c r="P222" s="2"/>
      <c r="Q222" s="2"/>
      <c r="R222" s="2"/>
      <c r="S222" s="2"/>
      <c r="T222" s="2"/>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spans="1:50" x14ac:dyDescent="0.3">
      <c r="A223" s="1"/>
      <c r="B223" s="1"/>
      <c r="C223" s="2"/>
      <c r="D223" s="2"/>
      <c r="E223" s="2"/>
      <c r="F223" s="2"/>
      <c r="G223" s="2"/>
      <c r="H223" s="2"/>
      <c r="I223" s="2"/>
      <c r="J223" s="2"/>
      <c r="K223" s="2"/>
      <c r="L223" s="2"/>
      <c r="M223" s="2"/>
      <c r="N223" s="2"/>
      <c r="O223" s="2"/>
      <c r="P223" s="2"/>
      <c r="Q223" s="2"/>
      <c r="R223" s="2"/>
      <c r="S223" s="2"/>
      <c r="T223" s="2"/>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spans="1:50" x14ac:dyDescent="0.3">
      <c r="A224" s="1"/>
      <c r="B224" s="1"/>
      <c r="C224" s="2"/>
      <c r="D224" s="2"/>
      <c r="E224" s="2"/>
      <c r="F224" s="2"/>
      <c r="G224" s="2"/>
      <c r="H224" s="2"/>
      <c r="I224" s="2"/>
      <c r="J224" s="2"/>
      <c r="K224" s="2"/>
      <c r="L224" s="2"/>
      <c r="M224" s="2"/>
      <c r="N224" s="2"/>
      <c r="O224" s="2"/>
      <c r="P224" s="2"/>
      <c r="Q224" s="2"/>
      <c r="R224" s="2"/>
      <c r="S224" s="2"/>
      <c r="T224" s="2"/>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spans="1:50" x14ac:dyDescent="0.3">
      <c r="A225" s="1"/>
      <c r="B225" s="1"/>
      <c r="C225" s="2"/>
      <c r="D225" s="2"/>
      <c r="E225" s="2"/>
      <c r="F225" s="2"/>
      <c r="G225" s="2"/>
      <c r="H225" s="2"/>
      <c r="I225" s="2"/>
      <c r="J225" s="2"/>
      <c r="K225" s="2"/>
      <c r="L225" s="2"/>
      <c r="M225" s="2"/>
      <c r="N225" s="2"/>
      <c r="O225" s="2"/>
      <c r="P225" s="2"/>
      <c r="Q225" s="2"/>
      <c r="R225" s="2"/>
      <c r="S225" s="2"/>
      <c r="T225" s="2"/>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spans="1:50" x14ac:dyDescent="0.3">
      <c r="A226" s="1"/>
      <c r="B226" s="1"/>
      <c r="C226" s="2"/>
      <c r="D226" s="2"/>
      <c r="E226" s="2"/>
      <c r="F226" s="2"/>
      <c r="G226" s="2"/>
      <c r="H226" s="2"/>
      <c r="I226" s="2"/>
      <c r="J226" s="2"/>
      <c r="K226" s="2"/>
      <c r="L226" s="2"/>
      <c r="M226" s="2"/>
      <c r="N226" s="2"/>
      <c r="O226" s="2"/>
      <c r="P226" s="2"/>
      <c r="Q226" s="2"/>
      <c r="R226" s="2"/>
      <c r="S226" s="2"/>
      <c r="T226" s="2"/>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spans="1:50" x14ac:dyDescent="0.3">
      <c r="A227" s="1"/>
      <c r="B227" s="1"/>
      <c r="C227" s="2"/>
      <c r="D227" s="2"/>
      <c r="E227" s="2"/>
      <c r="F227" s="2"/>
      <c r="G227" s="2"/>
      <c r="H227" s="2"/>
      <c r="I227" s="2"/>
      <c r="J227" s="2"/>
      <c r="K227" s="2"/>
      <c r="L227" s="2"/>
      <c r="M227" s="2"/>
      <c r="N227" s="2"/>
      <c r="O227" s="2"/>
      <c r="P227" s="2"/>
      <c r="Q227" s="2"/>
      <c r="R227" s="2"/>
      <c r="S227" s="2"/>
      <c r="T227" s="2"/>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spans="1:50" x14ac:dyDescent="0.3">
      <c r="A228" s="1"/>
      <c r="B228" s="1"/>
      <c r="C228" s="2"/>
      <c r="D228" s="2"/>
      <c r="E228" s="2"/>
      <c r="F228" s="2"/>
      <c r="G228" s="2"/>
      <c r="H228" s="2"/>
      <c r="I228" s="2"/>
      <c r="J228" s="2"/>
      <c r="K228" s="2"/>
      <c r="L228" s="2"/>
      <c r="M228" s="2"/>
      <c r="N228" s="2"/>
      <c r="O228" s="2"/>
      <c r="P228" s="2"/>
      <c r="Q228" s="2"/>
      <c r="R228" s="2"/>
      <c r="S228" s="2"/>
      <c r="T228" s="2"/>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spans="1:50" x14ac:dyDescent="0.3">
      <c r="A229" s="1"/>
      <c r="B229" s="1"/>
      <c r="C229" s="2"/>
      <c r="D229" s="2"/>
      <c r="E229" s="2"/>
      <c r="F229" s="2"/>
      <c r="G229" s="2"/>
      <c r="H229" s="2"/>
      <c r="I229" s="2"/>
      <c r="J229" s="2"/>
      <c r="K229" s="2"/>
      <c r="L229" s="2"/>
      <c r="M229" s="2"/>
      <c r="N229" s="2"/>
      <c r="O229" s="2"/>
      <c r="P229" s="2"/>
      <c r="Q229" s="2"/>
      <c r="R229" s="2"/>
      <c r="S229" s="2"/>
      <c r="T229" s="2"/>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spans="1:50" x14ac:dyDescent="0.3">
      <c r="A230" s="1"/>
      <c r="B230" s="1"/>
      <c r="C230" s="2"/>
      <c r="D230" s="2"/>
      <c r="E230" s="2"/>
      <c r="F230" s="2"/>
      <c r="G230" s="2"/>
      <c r="H230" s="2"/>
      <c r="I230" s="2"/>
      <c r="J230" s="2"/>
      <c r="K230" s="2"/>
      <c r="L230" s="2"/>
      <c r="M230" s="2"/>
      <c r="N230" s="2"/>
      <c r="O230" s="2"/>
      <c r="P230" s="2"/>
      <c r="Q230" s="2"/>
      <c r="R230" s="2"/>
      <c r="S230" s="2"/>
      <c r="T230" s="2"/>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spans="1:50" x14ac:dyDescent="0.3">
      <c r="A231" s="1"/>
      <c r="B231" s="1"/>
      <c r="C231" s="2"/>
      <c r="D231" s="2"/>
      <c r="E231" s="2"/>
      <c r="F231" s="2"/>
      <c r="G231" s="2"/>
      <c r="H231" s="2"/>
      <c r="I231" s="2"/>
      <c r="J231" s="2"/>
      <c r="K231" s="2"/>
      <c r="L231" s="2"/>
      <c r="M231" s="2"/>
      <c r="N231" s="2"/>
      <c r="O231" s="2"/>
      <c r="P231" s="2"/>
      <c r="Q231" s="2"/>
      <c r="R231" s="2"/>
      <c r="S231" s="2"/>
      <c r="T231" s="2"/>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spans="1:50" x14ac:dyDescent="0.3">
      <c r="A232" s="1"/>
      <c r="B232" s="1"/>
      <c r="C232" s="2"/>
      <c r="D232" s="2"/>
      <c r="E232" s="2"/>
      <c r="F232" s="2"/>
      <c r="G232" s="2"/>
      <c r="H232" s="2"/>
      <c r="I232" s="2"/>
      <c r="J232" s="2"/>
      <c r="K232" s="2"/>
      <c r="L232" s="2"/>
      <c r="M232" s="2"/>
      <c r="N232" s="2"/>
      <c r="O232" s="2"/>
      <c r="P232" s="2"/>
      <c r="Q232" s="2"/>
      <c r="R232" s="2"/>
      <c r="S232" s="2"/>
      <c r="T232" s="2"/>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spans="1:50" x14ac:dyDescent="0.3">
      <c r="A233" s="1"/>
      <c r="B233" s="1"/>
      <c r="C233" s="2"/>
      <c r="D233" s="2"/>
      <c r="E233" s="2"/>
      <c r="F233" s="2"/>
      <c r="G233" s="2"/>
      <c r="H233" s="2"/>
      <c r="I233" s="2"/>
      <c r="J233" s="2"/>
      <c r="K233" s="2"/>
      <c r="L233" s="2"/>
      <c r="M233" s="2"/>
      <c r="N233" s="2"/>
      <c r="O233" s="2"/>
      <c r="P233" s="2"/>
      <c r="Q233" s="2"/>
      <c r="R233" s="2"/>
      <c r="S233" s="2"/>
      <c r="T233" s="2"/>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spans="1:50" x14ac:dyDescent="0.3">
      <c r="A234" s="1"/>
      <c r="B234" s="1"/>
      <c r="C234" s="2"/>
      <c r="D234" s="2"/>
      <c r="E234" s="2"/>
      <c r="F234" s="2"/>
      <c r="G234" s="2"/>
      <c r="H234" s="2"/>
      <c r="I234" s="2"/>
      <c r="J234" s="2"/>
      <c r="K234" s="2"/>
      <c r="L234" s="2"/>
      <c r="M234" s="2"/>
      <c r="N234" s="2"/>
      <c r="O234" s="2"/>
      <c r="P234" s="2"/>
      <c r="Q234" s="2"/>
      <c r="R234" s="2"/>
      <c r="S234" s="2"/>
      <c r="T234" s="2"/>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spans="1:50" x14ac:dyDescent="0.3">
      <c r="A235" s="1"/>
      <c r="B235" s="1"/>
      <c r="C235" s="2"/>
      <c r="D235" s="2"/>
      <c r="E235" s="2"/>
      <c r="F235" s="2"/>
      <c r="G235" s="2"/>
      <c r="H235" s="2"/>
      <c r="I235" s="2"/>
      <c r="J235" s="2"/>
      <c r="K235" s="2"/>
      <c r="L235" s="2"/>
      <c r="M235" s="2"/>
      <c r="N235" s="2"/>
      <c r="O235" s="2"/>
      <c r="P235" s="2"/>
      <c r="Q235" s="2"/>
      <c r="R235" s="2"/>
      <c r="S235" s="2"/>
      <c r="T235" s="2"/>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spans="1:50" x14ac:dyDescent="0.3">
      <c r="A236" s="1"/>
      <c r="B236" s="1"/>
      <c r="C236" s="2"/>
      <c r="D236" s="2"/>
      <c r="E236" s="2"/>
      <c r="F236" s="2"/>
      <c r="G236" s="2"/>
      <c r="H236" s="2"/>
      <c r="I236" s="2"/>
      <c r="J236" s="2"/>
      <c r="K236" s="2"/>
      <c r="L236" s="2"/>
      <c r="M236" s="2"/>
      <c r="N236" s="2"/>
      <c r="O236" s="2"/>
      <c r="P236" s="2"/>
      <c r="Q236" s="2"/>
      <c r="R236" s="2"/>
      <c r="S236" s="2"/>
      <c r="T236" s="2"/>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spans="1:50" x14ac:dyDescent="0.3">
      <c r="A237" s="1"/>
      <c r="B237" s="1"/>
      <c r="C237" s="2"/>
      <c r="D237" s="2"/>
      <c r="E237" s="2"/>
      <c r="F237" s="2"/>
      <c r="G237" s="2"/>
      <c r="H237" s="2"/>
      <c r="I237" s="2"/>
      <c r="J237" s="2"/>
      <c r="K237" s="2"/>
      <c r="L237" s="2"/>
      <c r="M237" s="2"/>
      <c r="N237" s="2"/>
      <c r="O237" s="2"/>
      <c r="P237" s="2"/>
      <c r="Q237" s="2"/>
      <c r="R237" s="2"/>
      <c r="S237" s="2"/>
      <c r="T237" s="2"/>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spans="1:50" x14ac:dyDescent="0.3">
      <c r="A238" s="1"/>
      <c r="B238" s="1"/>
      <c r="C238" s="2"/>
      <c r="D238" s="2"/>
      <c r="E238" s="2"/>
      <c r="F238" s="2"/>
      <c r="G238" s="2"/>
      <c r="H238" s="2"/>
      <c r="I238" s="2"/>
      <c r="J238" s="2"/>
      <c r="K238" s="2"/>
      <c r="L238" s="2"/>
      <c r="M238" s="2"/>
      <c r="N238" s="2"/>
      <c r="O238" s="2"/>
      <c r="P238" s="2"/>
      <c r="Q238" s="2"/>
      <c r="R238" s="2"/>
      <c r="S238" s="2"/>
      <c r="T238" s="2"/>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spans="1:50" x14ac:dyDescent="0.3">
      <c r="A239" s="1"/>
      <c r="B239" s="1"/>
      <c r="C239" s="2"/>
      <c r="D239" s="2"/>
      <c r="E239" s="2"/>
      <c r="F239" s="2"/>
      <c r="G239" s="2"/>
      <c r="H239" s="2"/>
      <c r="I239" s="2"/>
      <c r="J239" s="2"/>
      <c r="K239" s="2"/>
      <c r="L239" s="2"/>
      <c r="M239" s="2"/>
      <c r="N239" s="2"/>
      <c r="O239" s="2"/>
      <c r="P239" s="2"/>
      <c r="Q239" s="2"/>
      <c r="R239" s="2"/>
      <c r="S239" s="2"/>
      <c r="T239" s="2"/>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spans="1:50" x14ac:dyDescent="0.3">
      <c r="A240" s="1"/>
      <c r="B240" s="1"/>
      <c r="C240" s="2"/>
      <c r="D240" s="2"/>
      <c r="E240" s="2"/>
      <c r="F240" s="2"/>
      <c r="G240" s="2"/>
      <c r="H240" s="2"/>
      <c r="I240" s="2"/>
      <c r="J240" s="2"/>
      <c r="K240" s="2"/>
      <c r="L240" s="2"/>
      <c r="M240" s="2"/>
      <c r="N240" s="2"/>
      <c r="O240" s="2"/>
      <c r="P240" s="2"/>
      <c r="Q240" s="2"/>
      <c r="R240" s="2"/>
      <c r="S240" s="2"/>
      <c r="T240" s="2"/>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spans="1:50" x14ac:dyDescent="0.3">
      <c r="A241" s="1"/>
      <c r="B241" s="1"/>
      <c r="C241" s="2"/>
      <c r="D241" s="2"/>
      <c r="E241" s="2"/>
      <c r="F241" s="2"/>
      <c r="G241" s="2"/>
      <c r="H241" s="2"/>
      <c r="I241" s="2"/>
      <c r="J241" s="2"/>
      <c r="K241" s="2"/>
      <c r="L241" s="2"/>
      <c r="M241" s="2"/>
      <c r="N241" s="2"/>
      <c r="O241" s="2"/>
      <c r="P241" s="2"/>
      <c r="Q241" s="2"/>
      <c r="R241" s="2"/>
      <c r="S241" s="2"/>
      <c r="T241" s="2"/>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spans="1:50" x14ac:dyDescent="0.3">
      <c r="A242" s="1"/>
      <c r="B242" s="1"/>
      <c r="C242" s="2"/>
      <c r="D242" s="2"/>
      <c r="E242" s="2"/>
      <c r="F242" s="2"/>
      <c r="G242" s="2"/>
      <c r="H242" s="2"/>
      <c r="I242" s="2"/>
      <c r="J242" s="2"/>
      <c r="K242" s="2"/>
      <c r="L242" s="2"/>
      <c r="M242" s="2"/>
      <c r="N242" s="2"/>
      <c r="O242" s="2"/>
      <c r="P242" s="2"/>
      <c r="Q242" s="2"/>
      <c r="R242" s="2"/>
      <c r="S242" s="2"/>
      <c r="T242" s="2"/>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spans="1:50" x14ac:dyDescent="0.3">
      <c r="A243" s="1"/>
      <c r="B243" s="1"/>
      <c r="C243" s="2"/>
      <c r="D243" s="2"/>
      <c r="E243" s="2"/>
      <c r="F243" s="2"/>
      <c r="G243" s="2"/>
      <c r="H243" s="2"/>
      <c r="I243" s="2"/>
      <c r="J243" s="2"/>
      <c r="K243" s="2"/>
      <c r="L243" s="2"/>
      <c r="M243" s="2"/>
      <c r="N243" s="2"/>
      <c r="O243" s="2"/>
      <c r="P243" s="2"/>
      <c r="Q243" s="2"/>
      <c r="R243" s="2"/>
      <c r="S243" s="2"/>
      <c r="T243" s="2"/>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spans="1:50" x14ac:dyDescent="0.3">
      <c r="A244" s="1"/>
      <c r="B244" s="1"/>
      <c r="C244" s="2"/>
      <c r="D244" s="2"/>
      <c r="E244" s="2"/>
      <c r="F244" s="2"/>
      <c r="G244" s="2"/>
      <c r="H244" s="2"/>
      <c r="I244" s="2"/>
      <c r="J244" s="2"/>
      <c r="K244" s="2"/>
      <c r="L244" s="2"/>
      <c r="M244" s="2"/>
      <c r="N244" s="2"/>
      <c r="O244" s="2"/>
      <c r="P244" s="2"/>
      <c r="Q244" s="2"/>
      <c r="R244" s="2"/>
      <c r="S244" s="2"/>
      <c r="T244" s="2"/>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spans="1:50" x14ac:dyDescent="0.3">
      <c r="A245" s="1"/>
      <c r="B245" s="1"/>
      <c r="C245" s="2"/>
      <c r="D245" s="2"/>
      <c r="E245" s="2"/>
      <c r="F245" s="2"/>
      <c r="G245" s="2"/>
      <c r="H245" s="2"/>
      <c r="I245" s="2"/>
      <c r="J245" s="2"/>
      <c r="K245" s="2"/>
      <c r="L245" s="2"/>
      <c r="M245" s="2"/>
      <c r="N245" s="2"/>
      <c r="O245" s="2"/>
      <c r="P245" s="2"/>
      <c r="Q245" s="2"/>
      <c r="R245" s="2"/>
      <c r="S245" s="2"/>
      <c r="T245" s="2"/>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spans="1:50" x14ac:dyDescent="0.3">
      <c r="A246" s="1"/>
      <c r="B246" s="1"/>
      <c r="C246" s="2"/>
      <c r="D246" s="2"/>
      <c r="E246" s="2"/>
      <c r="F246" s="2"/>
      <c r="G246" s="2"/>
      <c r="H246" s="2"/>
      <c r="I246" s="2"/>
      <c r="J246" s="2"/>
      <c r="K246" s="2"/>
      <c r="L246" s="2"/>
      <c r="M246" s="2"/>
      <c r="N246" s="2"/>
      <c r="O246" s="2"/>
      <c r="P246" s="2"/>
      <c r="Q246" s="2"/>
      <c r="R246" s="2"/>
      <c r="S246" s="2"/>
      <c r="T246" s="2"/>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spans="1:50" x14ac:dyDescent="0.3">
      <c r="A247" s="1"/>
      <c r="B247" s="1"/>
      <c r="C247" s="2"/>
      <c r="D247" s="2"/>
      <c r="E247" s="2"/>
      <c r="F247" s="2"/>
      <c r="G247" s="2"/>
      <c r="H247" s="2"/>
      <c r="I247" s="2"/>
      <c r="J247" s="2"/>
      <c r="K247" s="2"/>
      <c r="L247" s="2"/>
      <c r="M247" s="2"/>
      <c r="N247" s="2"/>
      <c r="O247" s="2"/>
      <c r="P247" s="2"/>
      <c r="Q247" s="2"/>
      <c r="R247" s="2"/>
      <c r="S247" s="2"/>
      <c r="T247" s="2"/>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spans="1:50" x14ac:dyDescent="0.3">
      <c r="A248" s="1"/>
      <c r="B248" s="1"/>
      <c r="C248" s="2"/>
      <c r="D248" s="2"/>
      <c r="E248" s="2"/>
      <c r="F248" s="2"/>
      <c r="G248" s="2"/>
      <c r="H248" s="2"/>
      <c r="I248" s="2"/>
      <c r="J248" s="2"/>
      <c r="K248" s="2"/>
      <c r="L248" s="2"/>
      <c r="M248" s="2"/>
      <c r="N248" s="2"/>
      <c r="O248" s="2"/>
      <c r="P248" s="2"/>
      <c r="Q248" s="2"/>
      <c r="R248" s="2"/>
      <c r="S248" s="2"/>
      <c r="T248" s="2"/>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spans="1:50" x14ac:dyDescent="0.3">
      <c r="A249" s="1"/>
      <c r="B249" s="1"/>
      <c r="C249" s="2"/>
      <c r="D249" s="2"/>
      <c r="E249" s="2"/>
      <c r="F249" s="2"/>
      <c r="G249" s="2"/>
      <c r="H249" s="2"/>
      <c r="I249" s="2"/>
      <c r="J249" s="2"/>
      <c r="K249" s="2"/>
      <c r="L249" s="2"/>
      <c r="M249" s="2"/>
      <c r="N249" s="2"/>
      <c r="O249" s="2"/>
      <c r="P249" s="2"/>
      <c r="Q249" s="2"/>
      <c r="R249" s="2"/>
      <c r="S249" s="2"/>
      <c r="T249" s="2"/>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spans="1:50" x14ac:dyDescent="0.3">
      <c r="A250" s="1"/>
      <c r="B250" s="1"/>
      <c r="C250" s="2"/>
      <c r="D250" s="2"/>
      <c r="E250" s="2"/>
      <c r="F250" s="2"/>
      <c r="G250" s="2"/>
      <c r="H250" s="2"/>
      <c r="I250" s="2"/>
      <c r="J250" s="2"/>
      <c r="K250" s="2"/>
      <c r="L250" s="2"/>
      <c r="M250" s="2"/>
      <c r="N250" s="2"/>
      <c r="O250" s="2"/>
      <c r="P250" s="2"/>
      <c r="Q250" s="2"/>
      <c r="R250" s="2"/>
      <c r="S250" s="2"/>
      <c r="T250" s="2"/>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spans="1:50" x14ac:dyDescent="0.3">
      <c r="A251" s="1"/>
      <c r="B251" s="1"/>
      <c r="C251" s="2"/>
      <c r="D251" s="2"/>
      <c r="E251" s="2"/>
      <c r="F251" s="2"/>
      <c r="G251" s="2"/>
      <c r="H251" s="2"/>
      <c r="I251" s="2"/>
      <c r="J251" s="2"/>
      <c r="K251" s="2"/>
      <c r="L251" s="2"/>
      <c r="M251" s="2"/>
      <c r="N251" s="2"/>
      <c r="O251" s="2"/>
      <c r="P251" s="2"/>
      <c r="Q251" s="2"/>
      <c r="R251" s="2"/>
      <c r="S251" s="2"/>
      <c r="T251" s="2"/>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spans="1:50" x14ac:dyDescent="0.3">
      <c r="A252" s="1"/>
      <c r="B252" s="1"/>
      <c r="C252" s="2"/>
      <c r="D252" s="2"/>
      <c r="E252" s="2"/>
      <c r="F252" s="2"/>
      <c r="G252" s="2"/>
      <c r="H252" s="2"/>
      <c r="I252" s="2"/>
      <c r="J252" s="2"/>
      <c r="K252" s="2"/>
      <c r="L252" s="2"/>
      <c r="M252" s="2"/>
      <c r="N252" s="2"/>
      <c r="O252" s="2"/>
      <c r="P252" s="2"/>
      <c r="Q252" s="2"/>
      <c r="R252" s="2"/>
      <c r="S252" s="2"/>
      <c r="T252" s="2"/>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spans="1:50" x14ac:dyDescent="0.3">
      <c r="A253" s="1"/>
      <c r="B253" s="1"/>
      <c r="C253" s="2"/>
      <c r="D253" s="2"/>
      <c r="E253" s="2"/>
      <c r="F253" s="2"/>
      <c r="G253" s="2"/>
      <c r="H253" s="2"/>
      <c r="I253" s="2"/>
      <c r="J253" s="2"/>
      <c r="K253" s="2"/>
      <c r="L253" s="2"/>
      <c r="M253" s="2"/>
      <c r="N253" s="2"/>
      <c r="O253" s="2"/>
      <c r="P253" s="2"/>
      <c r="Q253" s="2"/>
      <c r="R253" s="2"/>
      <c r="S253" s="2"/>
      <c r="T253" s="2"/>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spans="1:50" x14ac:dyDescent="0.3">
      <c r="A254" s="1"/>
      <c r="B254" s="1"/>
      <c r="C254" s="2"/>
      <c r="D254" s="2"/>
      <c r="E254" s="2"/>
      <c r="F254" s="2"/>
      <c r="G254" s="2"/>
      <c r="H254" s="2"/>
      <c r="I254" s="2"/>
      <c r="J254" s="2"/>
      <c r="K254" s="2"/>
      <c r="L254" s="2"/>
      <c r="M254" s="2"/>
      <c r="N254" s="2"/>
      <c r="O254" s="2"/>
      <c r="P254" s="2"/>
      <c r="Q254" s="2"/>
      <c r="R254" s="2"/>
      <c r="S254" s="2"/>
      <c r="T254" s="2"/>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spans="1:50" x14ac:dyDescent="0.3">
      <c r="A255" s="1"/>
      <c r="B255" s="1"/>
      <c r="C255" s="2"/>
      <c r="D255" s="2"/>
      <c r="E255" s="2"/>
      <c r="F255" s="2"/>
      <c r="G255" s="2"/>
      <c r="H255" s="2"/>
      <c r="I255" s="2"/>
      <c r="J255" s="2"/>
      <c r="K255" s="2"/>
      <c r="L255" s="2"/>
      <c r="M255" s="2"/>
      <c r="N255" s="2"/>
      <c r="O255" s="2"/>
      <c r="P255" s="2"/>
      <c r="Q255" s="2"/>
      <c r="R255" s="2"/>
      <c r="S255" s="2"/>
      <c r="T255" s="2"/>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spans="1:50" x14ac:dyDescent="0.3">
      <c r="A256" s="1"/>
      <c r="B256" s="1"/>
      <c r="C256" s="2"/>
      <c r="D256" s="2"/>
      <c r="E256" s="2"/>
      <c r="F256" s="2"/>
      <c r="G256" s="2"/>
      <c r="H256" s="2"/>
      <c r="I256" s="2"/>
      <c r="J256" s="2"/>
      <c r="K256" s="2"/>
      <c r="L256" s="2"/>
      <c r="M256" s="2"/>
      <c r="N256" s="2"/>
      <c r="O256" s="2"/>
      <c r="P256" s="2"/>
      <c r="Q256" s="2"/>
      <c r="R256" s="2"/>
      <c r="S256" s="2"/>
      <c r="T256" s="2"/>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spans="1:50" x14ac:dyDescent="0.3">
      <c r="A257" s="1"/>
      <c r="B257" s="1"/>
      <c r="C257" s="2"/>
      <c r="D257" s="2"/>
      <c r="E257" s="2"/>
      <c r="F257" s="2"/>
      <c r="G257" s="2"/>
      <c r="H257" s="2"/>
      <c r="I257" s="2"/>
      <c r="J257" s="2"/>
      <c r="K257" s="2"/>
      <c r="L257" s="2"/>
      <c r="M257" s="2"/>
      <c r="N257" s="2"/>
      <c r="O257" s="2"/>
      <c r="P257" s="2"/>
      <c r="Q257" s="2"/>
      <c r="R257" s="2"/>
      <c r="S257" s="2"/>
      <c r="T257" s="2"/>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spans="1:50" x14ac:dyDescent="0.3">
      <c r="A258" s="1"/>
      <c r="B258" s="1"/>
      <c r="C258" s="2"/>
      <c r="D258" s="2"/>
      <c r="E258" s="2"/>
      <c r="F258" s="2"/>
      <c r="G258" s="2"/>
      <c r="H258" s="2"/>
      <c r="I258" s="2"/>
      <c r="J258" s="2"/>
      <c r="K258" s="2"/>
      <c r="L258" s="2"/>
      <c r="M258" s="2"/>
      <c r="N258" s="2"/>
      <c r="O258" s="2"/>
      <c r="P258" s="2"/>
      <c r="Q258" s="2"/>
      <c r="R258" s="2"/>
      <c r="S258" s="2"/>
      <c r="T258" s="2"/>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spans="1:50" x14ac:dyDescent="0.3">
      <c r="A259" s="1"/>
      <c r="B259" s="1"/>
      <c r="C259" s="2"/>
      <c r="D259" s="2"/>
      <c r="E259" s="2"/>
      <c r="F259" s="2"/>
      <c r="G259" s="2"/>
      <c r="H259" s="2"/>
      <c r="I259" s="2"/>
      <c r="J259" s="2"/>
      <c r="K259" s="2"/>
      <c r="L259" s="2"/>
      <c r="M259" s="2"/>
      <c r="N259" s="2"/>
      <c r="O259" s="2"/>
      <c r="P259" s="2"/>
      <c r="Q259" s="2"/>
      <c r="R259" s="2"/>
      <c r="S259" s="2"/>
      <c r="T259" s="2"/>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spans="1:50" x14ac:dyDescent="0.3">
      <c r="A260" s="1"/>
      <c r="B260" s="1"/>
      <c r="C260" s="2"/>
      <c r="D260" s="2"/>
      <c r="E260" s="2"/>
      <c r="F260" s="2"/>
      <c r="G260" s="2"/>
      <c r="H260" s="2"/>
      <c r="I260" s="2"/>
      <c r="J260" s="2"/>
      <c r="K260" s="2"/>
      <c r="L260" s="2"/>
      <c r="M260" s="2"/>
      <c r="N260" s="2"/>
      <c r="O260" s="2"/>
      <c r="P260" s="2"/>
      <c r="Q260" s="2"/>
      <c r="R260" s="2"/>
      <c r="S260" s="2"/>
      <c r="T260" s="2"/>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spans="1:50" x14ac:dyDescent="0.3">
      <c r="A261" s="1"/>
      <c r="B261" s="1"/>
      <c r="C261" s="2"/>
      <c r="D261" s="2"/>
      <c r="E261" s="2"/>
      <c r="F261" s="2"/>
      <c r="G261" s="2"/>
      <c r="H261" s="2"/>
      <c r="I261" s="2"/>
      <c r="J261" s="2"/>
      <c r="K261" s="2"/>
      <c r="L261" s="2"/>
      <c r="M261" s="2"/>
      <c r="N261" s="2"/>
      <c r="O261" s="2"/>
      <c r="P261" s="2"/>
      <c r="Q261" s="2"/>
      <c r="R261" s="2"/>
      <c r="S261" s="2"/>
      <c r="T261" s="2"/>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spans="1:50" x14ac:dyDescent="0.3">
      <c r="A262" s="1"/>
      <c r="B262" s="1"/>
      <c r="C262" s="2"/>
      <c r="D262" s="2"/>
      <c r="E262" s="2"/>
      <c r="F262" s="2"/>
      <c r="G262" s="2"/>
      <c r="H262" s="2"/>
      <c r="I262" s="2"/>
      <c r="J262" s="2"/>
      <c r="K262" s="2"/>
      <c r="L262" s="2"/>
      <c r="M262" s="2"/>
      <c r="N262" s="2"/>
      <c r="O262" s="2"/>
      <c r="P262" s="2"/>
      <c r="Q262" s="2"/>
      <c r="R262" s="2"/>
      <c r="S262" s="2"/>
      <c r="T262" s="2"/>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spans="1:50" x14ac:dyDescent="0.3">
      <c r="A263" s="1"/>
      <c r="B263" s="1"/>
      <c r="C263" s="2"/>
      <c r="D263" s="2"/>
      <c r="E263" s="2"/>
      <c r="F263" s="2"/>
      <c r="G263" s="2"/>
      <c r="H263" s="2"/>
      <c r="I263" s="2"/>
      <c r="J263" s="2"/>
      <c r="K263" s="2"/>
      <c r="L263" s="2"/>
      <c r="M263" s="2"/>
      <c r="N263" s="2"/>
      <c r="O263" s="2"/>
      <c r="P263" s="2"/>
      <c r="Q263" s="2"/>
      <c r="R263" s="2"/>
      <c r="S263" s="2"/>
      <c r="T263" s="2"/>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spans="1:50" x14ac:dyDescent="0.3">
      <c r="A264" s="1"/>
      <c r="B264" s="1"/>
      <c r="C264" s="2"/>
      <c r="D264" s="2"/>
      <c r="E264" s="2"/>
      <c r="F264" s="2"/>
      <c r="G264" s="2"/>
      <c r="H264" s="2"/>
      <c r="I264" s="2"/>
      <c r="J264" s="2"/>
      <c r="K264" s="2"/>
      <c r="L264" s="2"/>
      <c r="M264" s="2"/>
      <c r="N264" s="2"/>
      <c r="O264" s="2"/>
      <c r="P264" s="2"/>
      <c r="Q264" s="2"/>
      <c r="R264" s="2"/>
      <c r="S264" s="2"/>
      <c r="T264" s="2"/>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spans="1:50" x14ac:dyDescent="0.3">
      <c r="A265" s="1"/>
      <c r="B265" s="1"/>
      <c r="C265" s="2"/>
      <c r="D265" s="2"/>
      <c r="E265" s="2"/>
      <c r="F265" s="2"/>
      <c r="G265" s="2"/>
      <c r="H265" s="2"/>
      <c r="I265" s="2"/>
      <c r="J265" s="2"/>
      <c r="K265" s="2"/>
      <c r="L265" s="2"/>
      <c r="M265" s="2"/>
      <c r="N265" s="2"/>
      <c r="O265" s="2"/>
      <c r="P265" s="2"/>
      <c r="Q265" s="2"/>
      <c r="R265" s="2"/>
      <c r="S265" s="2"/>
      <c r="T265" s="2"/>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spans="1:50" x14ac:dyDescent="0.3">
      <c r="A266" s="1"/>
      <c r="B266" s="1"/>
      <c r="C266" s="2"/>
      <c r="D266" s="2"/>
      <c r="E266" s="2"/>
      <c r="F266" s="2"/>
      <c r="G266" s="2"/>
      <c r="H266" s="2"/>
      <c r="I266" s="2"/>
      <c r="J266" s="2"/>
      <c r="K266" s="2"/>
      <c r="L266" s="2"/>
      <c r="M266" s="2"/>
      <c r="N266" s="2"/>
      <c r="O266" s="2"/>
      <c r="P266" s="2"/>
      <c r="Q266" s="2"/>
      <c r="R266" s="2"/>
      <c r="S266" s="2"/>
      <c r="T266" s="2"/>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spans="1:50" x14ac:dyDescent="0.3">
      <c r="A267" s="1"/>
      <c r="B267" s="1"/>
      <c r="C267" s="2"/>
      <c r="D267" s="2"/>
      <c r="E267" s="2"/>
      <c r="F267" s="2"/>
      <c r="G267" s="2"/>
      <c r="H267" s="2"/>
      <c r="I267" s="2"/>
      <c r="J267" s="2"/>
      <c r="K267" s="2"/>
      <c r="L267" s="2"/>
      <c r="M267" s="2"/>
      <c r="N267" s="2"/>
      <c r="O267" s="2"/>
      <c r="P267" s="2"/>
      <c r="Q267" s="2"/>
      <c r="R267" s="2"/>
      <c r="S267" s="2"/>
      <c r="T267" s="2"/>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spans="1:50" x14ac:dyDescent="0.3">
      <c r="A268" s="1"/>
      <c r="B268" s="1"/>
      <c r="C268" s="2"/>
      <c r="D268" s="2"/>
      <c r="E268" s="2"/>
      <c r="F268" s="2"/>
      <c r="G268" s="2"/>
      <c r="H268" s="2"/>
      <c r="I268" s="2"/>
      <c r="J268" s="2"/>
      <c r="K268" s="2"/>
      <c r="L268" s="2"/>
      <c r="M268" s="2"/>
      <c r="N268" s="2"/>
      <c r="O268" s="2"/>
      <c r="P268" s="2"/>
      <c r="Q268" s="2"/>
      <c r="R268" s="2"/>
      <c r="S268" s="2"/>
      <c r="T268" s="2"/>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spans="1:50" x14ac:dyDescent="0.3">
      <c r="A269" s="1"/>
      <c r="B269" s="1"/>
      <c r="C269" s="2"/>
      <c r="D269" s="2"/>
      <c r="E269" s="2"/>
      <c r="F269" s="2"/>
      <c r="G269" s="2"/>
      <c r="H269" s="2"/>
      <c r="I269" s="2"/>
      <c r="J269" s="2"/>
      <c r="K269" s="2"/>
      <c r="L269" s="2"/>
      <c r="M269" s="2"/>
      <c r="N269" s="2"/>
      <c r="O269" s="2"/>
      <c r="P269" s="2"/>
      <c r="Q269" s="2"/>
      <c r="R269" s="2"/>
      <c r="S269" s="2"/>
      <c r="T269" s="2"/>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spans="1:50" x14ac:dyDescent="0.3">
      <c r="A270" s="1"/>
      <c r="B270" s="1"/>
      <c r="C270" s="2"/>
      <c r="D270" s="2"/>
      <c r="E270" s="2"/>
      <c r="F270" s="2"/>
      <c r="G270" s="2"/>
      <c r="H270" s="2"/>
      <c r="I270" s="2"/>
      <c r="J270" s="2"/>
      <c r="K270" s="2"/>
      <c r="L270" s="2"/>
      <c r="M270" s="2"/>
      <c r="N270" s="2"/>
      <c r="O270" s="2"/>
      <c r="P270" s="2"/>
      <c r="Q270" s="2"/>
      <c r="R270" s="2"/>
      <c r="S270" s="2"/>
      <c r="T270" s="2"/>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spans="1:50" x14ac:dyDescent="0.3">
      <c r="A271" s="1"/>
      <c r="B271" s="1"/>
      <c r="C271" s="2"/>
      <c r="D271" s="2"/>
      <c r="E271" s="2"/>
      <c r="F271" s="2"/>
      <c r="G271" s="2"/>
      <c r="H271" s="2"/>
      <c r="I271" s="2"/>
      <c r="J271" s="2"/>
      <c r="K271" s="2"/>
      <c r="L271" s="2"/>
      <c r="M271" s="2"/>
      <c r="N271" s="2"/>
      <c r="O271" s="2"/>
      <c r="P271" s="2"/>
      <c r="Q271" s="2"/>
      <c r="R271" s="2"/>
      <c r="S271" s="2"/>
      <c r="T271" s="2"/>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spans="1:50" x14ac:dyDescent="0.3">
      <c r="A272" s="1"/>
      <c r="B272" s="1"/>
      <c r="C272" s="2"/>
      <c r="D272" s="2"/>
      <c r="E272" s="2"/>
      <c r="F272" s="2"/>
      <c r="G272" s="2"/>
      <c r="H272" s="2"/>
      <c r="I272" s="2"/>
      <c r="J272" s="2"/>
      <c r="K272" s="2"/>
      <c r="L272" s="2"/>
      <c r="M272" s="2"/>
      <c r="N272" s="2"/>
      <c r="O272" s="2"/>
      <c r="P272" s="2"/>
      <c r="Q272" s="2"/>
      <c r="R272" s="2"/>
      <c r="S272" s="2"/>
      <c r="T272" s="2"/>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spans="1:50" x14ac:dyDescent="0.3">
      <c r="A273" s="1"/>
      <c r="B273" s="1"/>
      <c r="C273" s="2"/>
      <c r="D273" s="2"/>
      <c r="E273" s="2"/>
      <c r="F273" s="2"/>
      <c r="G273" s="2"/>
      <c r="H273" s="2"/>
      <c r="I273" s="2"/>
      <c r="J273" s="2"/>
      <c r="K273" s="2"/>
      <c r="L273" s="2"/>
      <c r="M273" s="2"/>
      <c r="N273" s="2"/>
      <c r="O273" s="2"/>
      <c r="P273" s="2"/>
      <c r="Q273" s="2"/>
      <c r="R273" s="2"/>
      <c r="S273" s="2"/>
      <c r="T273" s="2"/>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spans="1:50" x14ac:dyDescent="0.3">
      <c r="A274" s="1"/>
      <c r="B274" s="1"/>
      <c r="C274" s="2"/>
      <c r="D274" s="2"/>
      <c r="E274" s="2"/>
      <c r="F274" s="2"/>
      <c r="G274" s="2"/>
      <c r="H274" s="2"/>
      <c r="I274" s="2"/>
      <c r="J274" s="2"/>
      <c r="K274" s="2"/>
      <c r="L274" s="2"/>
      <c r="M274" s="2"/>
      <c r="N274" s="2"/>
      <c r="O274" s="2"/>
      <c r="P274" s="2"/>
      <c r="Q274" s="2"/>
      <c r="R274" s="2"/>
      <c r="S274" s="2"/>
      <c r="T274" s="2"/>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spans="1:50" x14ac:dyDescent="0.3">
      <c r="A275" s="1"/>
      <c r="B275" s="1"/>
      <c r="C275" s="2"/>
      <c r="D275" s="2"/>
      <c r="E275" s="2"/>
      <c r="F275" s="2"/>
      <c r="G275" s="2"/>
      <c r="H275" s="2"/>
      <c r="I275" s="2"/>
      <c r="J275" s="2"/>
      <c r="K275" s="2"/>
      <c r="L275" s="2"/>
      <c r="M275" s="2"/>
      <c r="N275" s="2"/>
      <c r="O275" s="2"/>
      <c r="P275" s="2"/>
      <c r="Q275" s="2"/>
      <c r="R275" s="2"/>
      <c r="S275" s="2"/>
      <c r="T275" s="2"/>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spans="1:50" x14ac:dyDescent="0.3">
      <c r="A276" s="1"/>
      <c r="B276" s="1"/>
      <c r="C276" s="2"/>
      <c r="D276" s="2"/>
      <c r="E276" s="2"/>
      <c r="F276" s="2"/>
      <c r="G276" s="2"/>
      <c r="H276" s="2"/>
      <c r="I276" s="2"/>
      <c r="J276" s="2"/>
      <c r="K276" s="2"/>
      <c r="L276" s="2"/>
      <c r="M276" s="2"/>
      <c r="N276" s="2"/>
      <c r="O276" s="2"/>
      <c r="P276" s="2"/>
      <c r="Q276" s="2"/>
      <c r="R276" s="2"/>
      <c r="S276" s="2"/>
      <c r="T276" s="2"/>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spans="1:50" x14ac:dyDescent="0.3">
      <c r="A277" s="1"/>
      <c r="B277" s="1"/>
      <c r="C277" s="2"/>
      <c r="D277" s="2"/>
      <c r="E277" s="2"/>
      <c r="F277" s="2"/>
      <c r="G277" s="2"/>
      <c r="H277" s="2"/>
      <c r="I277" s="2"/>
      <c r="J277" s="2"/>
      <c r="K277" s="2"/>
      <c r="L277" s="2"/>
      <c r="M277" s="2"/>
      <c r="N277" s="2"/>
      <c r="O277" s="2"/>
      <c r="P277" s="2"/>
      <c r="Q277" s="2"/>
      <c r="R277" s="2"/>
      <c r="S277" s="2"/>
      <c r="T277" s="2"/>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spans="1:50" x14ac:dyDescent="0.3">
      <c r="A278" s="1"/>
      <c r="B278" s="1"/>
      <c r="C278" s="2"/>
      <c r="D278" s="2"/>
      <c r="E278" s="2"/>
      <c r="F278" s="2"/>
      <c r="G278" s="2"/>
      <c r="H278" s="2"/>
      <c r="I278" s="2"/>
      <c r="J278" s="2"/>
      <c r="K278" s="2"/>
      <c r="L278" s="2"/>
      <c r="M278" s="2"/>
      <c r="N278" s="2"/>
      <c r="O278" s="2"/>
      <c r="P278" s="2"/>
      <c r="Q278" s="2"/>
      <c r="R278" s="2"/>
      <c r="S278" s="2"/>
      <c r="T278" s="2"/>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spans="1:50" x14ac:dyDescent="0.3">
      <c r="A279" s="1"/>
      <c r="B279" s="1"/>
      <c r="C279" s="2"/>
      <c r="D279" s="2"/>
      <c r="E279" s="2"/>
      <c r="F279" s="2"/>
      <c r="G279" s="2"/>
      <c r="H279" s="2"/>
      <c r="I279" s="2"/>
      <c r="J279" s="2"/>
      <c r="K279" s="2"/>
      <c r="L279" s="2"/>
      <c r="M279" s="2"/>
      <c r="N279" s="2"/>
      <c r="O279" s="2"/>
      <c r="P279" s="2"/>
      <c r="Q279" s="2"/>
      <c r="R279" s="2"/>
      <c r="S279" s="2"/>
      <c r="T279" s="2"/>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spans="1:50" x14ac:dyDescent="0.3">
      <c r="A280" s="1"/>
      <c r="B280" s="1"/>
      <c r="C280" s="2"/>
      <c r="D280" s="2"/>
      <c r="E280" s="2"/>
      <c r="F280" s="2"/>
      <c r="G280" s="2"/>
      <c r="H280" s="2"/>
      <c r="I280" s="2"/>
      <c r="J280" s="2"/>
      <c r="K280" s="2"/>
      <c r="L280" s="2"/>
      <c r="M280" s="2"/>
      <c r="N280" s="2"/>
      <c r="O280" s="2"/>
      <c r="P280" s="2"/>
      <c r="Q280" s="2"/>
      <c r="R280" s="2"/>
      <c r="S280" s="2"/>
      <c r="T280" s="2"/>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spans="1:50" x14ac:dyDescent="0.3">
      <c r="A281" s="1"/>
      <c r="B281" s="1"/>
      <c r="C281" s="2"/>
      <c r="D281" s="2"/>
      <c r="E281" s="2"/>
      <c r="F281" s="2"/>
      <c r="G281" s="2"/>
      <c r="H281" s="2"/>
      <c r="I281" s="2"/>
      <c r="J281" s="2"/>
      <c r="K281" s="2"/>
      <c r="L281" s="2"/>
      <c r="M281" s="2"/>
      <c r="N281" s="2"/>
      <c r="O281" s="2"/>
      <c r="P281" s="2"/>
      <c r="Q281" s="2"/>
      <c r="R281" s="2"/>
      <c r="S281" s="2"/>
      <c r="T281" s="2"/>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spans="1:50" x14ac:dyDescent="0.3">
      <c r="A282" s="1"/>
      <c r="B282" s="1"/>
      <c r="C282" s="2"/>
      <c r="D282" s="2"/>
      <c r="E282" s="2"/>
      <c r="F282" s="2"/>
      <c r="G282" s="2"/>
      <c r="H282" s="2"/>
      <c r="I282" s="2"/>
      <c r="J282" s="2"/>
      <c r="K282" s="2"/>
      <c r="L282" s="2"/>
      <c r="M282" s="2"/>
      <c r="N282" s="2"/>
      <c r="O282" s="2"/>
      <c r="P282" s="2"/>
      <c r="Q282" s="2"/>
      <c r="R282" s="2"/>
      <c r="S282" s="2"/>
      <c r="T282" s="2"/>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spans="1:50" x14ac:dyDescent="0.3">
      <c r="A283" s="1"/>
      <c r="B283" s="1"/>
      <c r="C283" s="2"/>
      <c r="D283" s="2"/>
      <c r="E283" s="2"/>
      <c r="F283" s="2"/>
      <c r="G283" s="2"/>
      <c r="H283" s="2"/>
      <c r="I283" s="2"/>
      <c r="J283" s="2"/>
      <c r="K283" s="2"/>
      <c r="L283" s="2"/>
      <c r="M283" s="2"/>
      <c r="N283" s="2"/>
      <c r="O283" s="2"/>
      <c r="P283" s="2"/>
      <c r="Q283" s="2"/>
      <c r="R283" s="2"/>
      <c r="S283" s="2"/>
      <c r="T283" s="2"/>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spans="1:50" x14ac:dyDescent="0.3">
      <c r="A284" s="1"/>
      <c r="B284" s="1"/>
      <c r="C284" s="2"/>
      <c r="D284" s="2"/>
      <c r="E284" s="2"/>
      <c r="F284" s="2"/>
      <c r="G284" s="2"/>
      <c r="H284" s="2"/>
      <c r="I284" s="2"/>
      <c r="J284" s="2"/>
      <c r="K284" s="2"/>
      <c r="L284" s="2"/>
      <c r="M284" s="2"/>
      <c r="N284" s="2"/>
      <c r="O284" s="2"/>
      <c r="P284" s="2"/>
      <c r="Q284" s="2"/>
      <c r="R284" s="2"/>
      <c r="S284" s="2"/>
      <c r="T284" s="2"/>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spans="1:50" x14ac:dyDescent="0.3">
      <c r="A285" s="1"/>
      <c r="B285" s="1"/>
      <c r="C285" s="2"/>
      <c r="D285" s="2"/>
      <c r="E285" s="2"/>
      <c r="F285" s="2"/>
      <c r="G285" s="2"/>
      <c r="H285" s="2"/>
      <c r="I285" s="2"/>
      <c r="J285" s="2"/>
      <c r="K285" s="2"/>
      <c r="L285" s="2"/>
      <c r="M285" s="2"/>
      <c r="N285" s="2"/>
      <c r="O285" s="2"/>
      <c r="P285" s="2"/>
      <c r="Q285" s="2"/>
      <c r="R285" s="2"/>
      <c r="S285" s="2"/>
      <c r="T285" s="2"/>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spans="1:50" x14ac:dyDescent="0.3">
      <c r="A286" s="1"/>
      <c r="B286" s="1"/>
      <c r="C286" s="2"/>
      <c r="D286" s="2"/>
      <c r="E286" s="2"/>
      <c r="F286" s="2"/>
      <c r="G286" s="2"/>
      <c r="H286" s="2"/>
      <c r="I286" s="2"/>
      <c r="J286" s="2"/>
      <c r="K286" s="2"/>
      <c r="L286" s="2"/>
      <c r="M286" s="2"/>
      <c r="N286" s="2"/>
      <c r="O286" s="2"/>
      <c r="P286" s="2"/>
      <c r="Q286" s="2"/>
      <c r="R286" s="2"/>
      <c r="S286" s="2"/>
      <c r="T286" s="2"/>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spans="1:50" x14ac:dyDescent="0.3">
      <c r="A287" s="1"/>
      <c r="B287" s="1"/>
      <c r="C287" s="2"/>
      <c r="D287" s="2"/>
      <c r="E287" s="2"/>
      <c r="F287" s="2"/>
      <c r="G287" s="2"/>
      <c r="H287" s="2"/>
      <c r="I287" s="2"/>
      <c r="J287" s="2"/>
      <c r="K287" s="2"/>
      <c r="L287" s="2"/>
      <c r="M287" s="2"/>
      <c r="N287" s="2"/>
      <c r="O287" s="2"/>
      <c r="P287" s="2"/>
      <c r="Q287" s="2"/>
      <c r="R287" s="2"/>
      <c r="S287" s="2"/>
      <c r="T287" s="2"/>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spans="1:50" x14ac:dyDescent="0.3">
      <c r="A288" s="1"/>
      <c r="B288" s="1"/>
      <c r="C288" s="2"/>
      <c r="D288" s="2"/>
      <c r="E288" s="2"/>
      <c r="F288" s="2"/>
      <c r="G288" s="2"/>
      <c r="H288" s="2"/>
      <c r="I288" s="2"/>
      <c r="J288" s="2"/>
      <c r="K288" s="2"/>
      <c r="L288" s="2"/>
      <c r="M288" s="2"/>
      <c r="N288" s="2"/>
      <c r="O288" s="2"/>
      <c r="P288" s="2"/>
      <c r="Q288" s="2"/>
      <c r="R288" s="2"/>
      <c r="S288" s="2"/>
      <c r="T288" s="2"/>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spans="1:50" x14ac:dyDescent="0.3">
      <c r="A289" s="1"/>
      <c r="B289" s="1"/>
      <c r="C289" s="2"/>
      <c r="D289" s="2"/>
      <c r="E289" s="2"/>
      <c r="F289" s="2"/>
      <c r="G289" s="2"/>
      <c r="H289" s="2"/>
      <c r="I289" s="2"/>
      <c r="J289" s="2"/>
      <c r="K289" s="2"/>
      <c r="L289" s="2"/>
      <c r="M289" s="2"/>
      <c r="N289" s="2"/>
      <c r="O289" s="2"/>
      <c r="P289" s="2"/>
      <c r="Q289" s="2"/>
      <c r="R289" s="2"/>
      <c r="S289" s="2"/>
      <c r="T289" s="2"/>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spans="1:50" x14ac:dyDescent="0.3">
      <c r="A290" s="1"/>
      <c r="B290" s="1"/>
      <c r="C290" s="2"/>
      <c r="D290" s="2"/>
      <c r="E290" s="2"/>
      <c r="F290" s="2"/>
      <c r="G290" s="2"/>
      <c r="H290" s="2"/>
      <c r="I290" s="2"/>
      <c r="J290" s="2"/>
      <c r="K290" s="2"/>
      <c r="L290" s="2"/>
      <c r="M290" s="2"/>
      <c r="N290" s="2"/>
      <c r="O290" s="2"/>
      <c r="P290" s="2"/>
      <c r="Q290" s="2"/>
      <c r="R290" s="2"/>
      <c r="S290" s="2"/>
      <c r="T290" s="2"/>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spans="1:50" x14ac:dyDescent="0.3">
      <c r="A291" s="1"/>
      <c r="B291" s="1"/>
      <c r="C291" s="2"/>
      <c r="D291" s="2"/>
      <c r="E291" s="2"/>
      <c r="F291" s="2"/>
      <c r="G291" s="2"/>
      <c r="H291" s="2"/>
      <c r="I291" s="2"/>
      <c r="J291" s="2"/>
      <c r="K291" s="2"/>
      <c r="L291" s="2"/>
      <c r="M291" s="2"/>
      <c r="N291" s="2"/>
      <c r="O291" s="2"/>
      <c r="P291" s="2"/>
      <c r="Q291" s="2"/>
      <c r="R291" s="2"/>
      <c r="S291" s="2"/>
      <c r="T291" s="2"/>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spans="1:50" x14ac:dyDescent="0.3">
      <c r="A292" s="1"/>
      <c r="B292" s="1"/>
      <c r="C292" s="2"/>
      <c r="D292" s="2"/>
      <c r="E292" s="2"/>
      <c r="F292" s="2"/>
      <c r="G292" s="2"/>
      <c r="H292" s="2"/>
      <c r="I292" s="2"/>
      <c r="J292" s="2"/>
      <c r="K292" s="2"/>
      <c r="L292" s="2"/>
      <c r="M292" s="2"/>
      <c r="N292" s="2"/>
      <c r="O292" s="2"/>
      <c r="P292" s="2"/>
      <c r="Q292" s="2"/>
      <c r="R292" s="2"/>
      <c r="S292" s="2"/>
      <c r="T292" s="2"/>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spans="1:50" x14ac:dyDescent="0.3">
      <c r="A293" s="1"/>
      <c r="B293" s="1"/>
      <c r="C293" s="2"/>
      <c r="D293" s="2"/>
      <c r="E293" s="2"/>
      <c r="F293" s="2"/>
      <c r="G293" s="2"/>
      <c r="H293" s="2"/>
      <c r="I293" s="2"/>
      <c r="J293" s="2"/>
      <c r="K293" s="2"/>
      <c r="L293" s="2"/>
      <c r="M293" s="2"/>
      <c r="N293" s="2"/>
      <c r="O293" s="2"/>
      <c r="P293" s="2"/>
      <c r="Q293" s="2"/>
      <c r="R293" s="2"/>
      <c r="S293" s="2"/>
      <c r="T293" s="2"/>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spans="1:50" x14ac:dyDescent="0.3">
      <c r="A294" s="1"/>
      <c r="B294" s="1"/>
      <c r="C294" s="2"/>
      <c r="D294" s="2"/>
      <c r="E294" s="2"/>
      <c r="F294" s="2"/>
      <c r="G294" s="2"/>
      <c r="H294" s="2"/>
      <c r="I294" s="2"/>
      <c r="J294" s="2"/>
      <c r="K294" s="2"/>
      <c r="L294" s="2"/>
      <c r="M294" s="2"/>
      <c r="N294" s="2"/>
      <c r="O294" s="2"/>
      <c r="P294" s="2"/>
      <c r="Q294" s="2"/>
      <c r="R294" s="2"/>
      <c r="S294" s="2"/>
      <c r="T294" s="2"/>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spans="1:50" x14ac:dyDescent="0.3">
      <c r="A295" s="1"/>
      <c r="B295" s="1"/>
      <c r="C295" s="2"/>
      <c r="D295" s="2"/>
      <c r="E295" s="2"/>
      <c r="F295" s="2"/>
      <c r="G295" s="2"/>
      <c r="H295" s="2"/>
      <c r="I295" s="2"/>
      <c r="J295" s="2"/>
      <c r="K295" s="2"/>
      <c r="L295" s="2"/>
      <c r="M295" s="2"/>
      <c r="N295" s="2"/>
      <c r="O295" s="2"/>
      <c r="P295" s="2"/>
      <c r="Q295" s="2"/>
      <c r="R295" s="2"/>
      <c r="S295" s="2"/>
      <c r="T295" s="2"/>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spans="1:50" x14ac:dyDescent="0.3">
      <c r="A296" s="1"/>
      <c r="B296" s="1"/>
      <c r="C296" s="2"/>
      <c r="D296" s="2"/>
      <c r="E296" s="2"/>
      <c r="F296" s="2"/>
      <c r="G296" s="2"/>
      <c r="H296" s="2"/>
      <c r="I296" s="2"/>
      <c r="J296" s="2"/>
      <c r="K296" s="2"/>
      <c r="L296" s="2"/>
      <c r="M296" s="2"/>
      <c r="N296" s="2"/>
      <c r="O296" s="2"/>
      <c r="P296" s="2"/>
      <c r="Q296" s="2"/>
      <c r="R296" s="2"/>
      <c r="S296" s="2"/>
      <c r="T296" s="2"/>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spans="1:50" x14ac:dyDescent="0.3">
      <c r="A297" s="1"/>
      <c r="B297" s="1"/>
      <c r="C297" s="2"/>
      <c r="D297" s="2"/>
      <c r="E297" s="2"/>
      <c r="F297" s="2"/>
      <c r="G297" s="2"/>
      <c r="H297" s="2"/>
      <c r="I297" s="2"/>
      <c r="J297" s="2"/>
      <c r="K297" s="2"/>
      <c r="L297" s="2"/>
      <c r="M297" s="2"/>
      <c r="N297" s="2"/>
      <c r="O297" s="2"/>
      <c r="P297" s="2"/>
      <c r="Q297" s="2"/>
      <c r="R297" s="2"/>
      <c r="S297" s="2"/>
      <c r="T297" s="2"/>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spans="1:50" x14ac:dyDescent="0.3">
      <c r="A298" s="1"/>
      <c r="B298" s="1"/>
      <c r="C298" s="2"/>
      <c r="D298" s="2"/>
      <c r="E298" s="2"/>
      <c r="F298" s="2"/>
      <c r="G298" s="2"/>
      <c r="H298" s="2"/>
      <c r="I298" s="2"/>
      <c r="J298" s="2"/>
      <c r="K298" s="2"/>
      <c r="L298" s="2"/>
      <c r="M298" s="2"/>
      <c r="N298" s="2"/>
      <c r="O298" s="2"/>
      <c r="P298" s="2"/>
      <c r="Q298" s="2"/>
      <c r="R298" s="2"/>
      <c r="S298" s="2"/>
      <c r="T298" s="2"/>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spans="1:50" x14ac:dyDescent="0.3">
      <c r="A299" s="1"/>
      <c r="B299" s="1"/>
      <c r="C299" s="2"/>
      <c r="D299" s="2"/>
      <c r="E299" s="2"/>
      <c r="F299" s="2"/>
      <c r="G299" s="2"/>
      <c r="H299" s="2"/>
      <c r="I299" s="2"/>
      <c r="J299" s="2"/>
      <c r="K299" s="2"/>
      <c r="L299" s="2"/>
      <c r="M299" s="2"/>
      <c r="N299" s="2"/>
      <c r="O299" s="2"/>
      <c r="P299" s="2"/>
      <c r="Q299" s="2"/>
      <c r="R299" s="2"/>
      <c r="S299" s="2"/>
      <c r="T299" s="2"/>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spans="1:50" x14ac:dyDescent="0.3">
      <c r="A300" s="1"/>
      <c r="B300" s="1"/>
      <c r="C300" s="2"/>
      <c r="D300" s="2"/>
      <c r="E300" s="2"/>
      <c r="F300" s="2"/>
      <c r="G300" s="2"/>
      <c r="H300" s="2"/>
      <c r="I300" s="2"/>
      <c r="J300" s="2"/>
      <c r="K300" s="2"/>
      <c r="L300" s="2"/>
      <c r="M300" s="2"/>
      <c r="N300" s="2"/>
      <c r="O300" s="2"/>
      <c r="P300" s="2"/>
      <c r="Q300" s="2"/>
      <c r="R300" s="2"/>
      <c r="S300" s="2"/>
      <c r="T300" s="2"/>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spans="1:50" x14ac:dyDescent="0.3">
      <c r="A301" s="1"/>
      <c r="B301" s="1"/>
      <c r="C301" s="2"/>
      <c r="D301" s="2"/>
      <c r="E301" s="2"/>
      <c r="F301" s="2"/>
      <c r="G301" s="2"/>
      <c r="H301" s="2"/>
      <c r="I301" s="2"/>
      <c r="J301" s="2"/>
      <c r="K301" s="2"/>
      <c r="L301" s="2"/>
      <c r="M301" s="2"/>
      <c r="N301" s="2"/>
      <c r="O301" s="2"/>
      <c r="P301" s="2"/>
      <c r="Q301" s="2"/>
      <c r="R301" s="2"/>
      <c r="S301" s="2"/>
      <c r="T301" s="2"/>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spans="1:50" x14ac:dyDescent="0.3">
      <c r="A302" s="1"/>
      <c r="B302" s="1"/>
      <c r="C302" s="2"/>
      <c r="D302" s="2"/>
      <c r="E302" s="2"/>
      <c r="F302" s="2"/>
      <c r="G302" s="2"/>
      <c r="H302" s="2"/>
      <c r="I302" s="2"/>
      <c r="J302" s="2"/>
      <c r="K302" s="2"/>
      <c r="L302" s="2"/>
      <c r="M302" s="2"/>
      <c r="N302" s="2"/>
      <c r="O302" s="2"/>
      <c r="P302" s="2"/>
      <c r="Q302" s="2"/>
      <c r="R302" s="2"/>
      <c r="S302" s="2"/>
      <c r="T302" s="2"/>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spans="1:50" x14ac:dyDescent="0.3">
      <c r="A303" s="1"/>
      <c r="B303" s="1"/>
      <c r="C303" s="2"/>
      <c r="D303" s="2"/>
      <c r="E303" s="2"/>
      <c r="F303" s="2"/>
      <c r="G303" s="2"/>
      <c r="H303" s="2"/>
      <c r="I303" s="2"/>
      <c r="J303" s="2"/>
      <c r="K303" s="2"/>
      <c r="L303" s="2"/>
      <c r="M303" s="2"/>
      <c r="N303" s="2"/>
      <c r="O303" s="2"/>
      <c r="P303" s="2"/>
      <c r="Q303" s="2"/>
      <c r="R303" s="2"/>
      <c r="S303" s="2"/>
      <c r="T303" s="2"/>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sheetData>
  <conditionalFormatting sqref="R8:R18 C12:Q17 C27:R29">
    <cfRule type="cellIs" dxfId="6" priority="15" operator="equal">
      <formula>0</formula>
    </cfRule>
  </conditionalFormatting>
  <pageMargins left="0.511811024" right="0.511811024" top="0.78740157499999996" bottom="0.78740157499999996" header="0.31496062000000002" footer="0.31496062000000002"/>
  <pageSetup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32218-C6A7-46BB-8AEB-0B1E4B9C7B37}">
  <sheetPr codeName="Planilha9"/>
  <dimension ref="A1:AX257"/>
  <sheetViews>
    <sheetView showGridLines="0" zoomScale="70" zoomScaleNormal="70" workbookViewId="0">
      <pane xSplit="2" ySplit="8" topLeftCell="H9" activePane="bottomRight" state="frozen"/>
      <selection pane="topRight" activeCell="C1" sqref="C1"/>
      <selection pane="bottomLeft" activeCell="A9" sqref="A9"/>
      <selection pane="bottomRight"/>
    </sheetView>
  </sheetViews>
  <sheetFormatPr defaultColWidth="12.5546875" defaultRowHeight="14.4" x14ac:dyDescent="0.3"/>
  <cols>
    <col min="1" max="1" width="12.5546875" style="3"/>
    <col min="2" max="2" width="36.109375" style="3" bestFit="1" customWidth="1"/>
    <col min="3" max="17" width="14.5546875" style="8" customWidth="1"/>
    <col min="18" max="18" width="52.109375" style="8" customWidth="1"/>
    <col min="19" max="20" width="12.5546875" style="8"/>
    <col min="21" max="16384" width="12.5546875" style="3"/>
  </cols>
  <sheetData>
    <row r="1" spans="1:50" ht="18" customHeight="1" x14ac:dyDescent="0.3">
      <c r="A1" s="1"/>
      <c r="B1" s="1"/>
      <c r="C1" s="2"/>
      <c r="D1" s="2"/>
      <c r="E1" s="2"/>
      <c r="F1" s="2"/>
      <c r="G1" s="2"/>
      <c r="H1" s="2"/>
      <c r="I1" s="2"/>
      <c r="J1" s="2"/>
      <c r="K1" s="2"/>
      <c r="L1" s="2"/>
      <c r="M1" s="2"/>
      <c r="N1" s="2"/>
      <c r="O1" s="2"/>
      <c r="P1" s="2"/>
      <c r="Q1" s="2"/>
      <c r="R1" s="2"/>
      <c r="S1" s="2"/>
      <c r="T1" s="2"/>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spans="1:50" ht="18" customHeight="1" x14ac:dyDescent="0.3">
      <c r="A2" s="1"/>
      <c r="B2" s="1"/>
      <c r="C2" s="2"/>
      <c r="D2" s="2"/>
      <c r="E2" s="2"/>
      <c r="F2" s="2"/>
      <c r="G2" s="2"/>
      <c r="H2" s="2"/>
      <c r="I2" s="2"/>
      <c r="J2" s="2"/>
      <c r="K2" s="2"/>
      <c r="L2" s="2"/>
      <c r="M2" s="2"/>
      <c r="N2" s="2"/>
      <c r="O2" s="2"/>
      <c r="P2" s="2"/>
      <c r="Q2" s="2"/>
      <c r="R2" s="2"/>
      <c r="S2" s="2"/>
      <c r="T2" s="2"/>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r="3" spans="1:50" ht="18" customHeight="1" x14ac:dyDescent="0.3">
      <c r="A3" s="1"/>
      <c r="B3" s="1"/>
      <c r="C3" s="2"/>
      <c r="D3" s="2"/>
      <c r="E3" s="2"/>
      <c r="F3" s="2"/>
      <c r="G3" s="2"/>
      <c r="H3" s="2"/>
      <c r="I3" s="2"/>
      <c r="J3" s="2"/>
      <c r="K3" s="2"/>
      <c r="L3" s="2"/>
      <c r="M3" s="2"/>
      <c r="N3" s="2"/>
      <c r="O3" s="2"/>
      <c r="P3" s="2"/>
      <c r="Q3" s="2"/>
      <c r="R3" s="2"/>
      <c r="S3" s="2"/>
      <c r="T3" s="2"/>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row>
    <row r="4" spans="1:50" ht="18" customHeight="1" x14ac:dyDescent="0.3">
      <c r="A4" s="1"/>
      <c r="B4" s="1"/>
      <c r="C4" s="2"/>
      <c r="D4" s="2"/>
      <c r="E4" s="2"/>
      <c r="F4" s="2"/>
      <c r="G4" s="2"/>
      <c r="H4" s="2"/>
      <c r="I4" s="2"/>
      <c r="J4" s="2"/>
      <c r="K4" s="2"/>
      <c r="L4" s="2"/>
      <c r="M4" s="2"/>
      <c r="N4" s="2"/>
      <c r="O4" s="2"/>
      <c r="P4" s="2"/>
      <c r="Q4" s="2"/>
      <c r="R4" s="2"/>
      <c r="S4" s="2"/>
      <c r="T4" s="2"/>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row>
    <row r="5" spans="1:50" ht="18" customHeight="1" x14ac:dyDescent="0.3">
      <c r="A5" s="1"/>
      <c r="B5" s="1"/>
      <c r="C5" s="2"/>
      <c r="D5" s="2"/>
      <c r="E5" s="2"/>
      <c r="F5" s="2"/>
      <c r="G5" s="2"/>
      <c r="H5" s="2"/>
      <c r="I5" s="2"/>
      <c r="J5" s="2"/>
      <c r="K5" s="2"/>
      <c r="L5" s="2"/>
      <c r="M5" s="2"/>
      <c r="N5" s="2"/>
      <c r="O5" s="2"/>
      <c r="P5" s="2"/>
      <c r="Q5" s="2"/>
      <c r="R5" s="2"/>
      <c r="S5" s="2"/>
      <c r="T5" s="2"/>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row>
    <row r="6" spans="1:50" ht="18" customHeight="1" x14ac:dyDescent="0.3">
      <c r="A6" s="1"/>
      <c r="B6" s="1"/>
      <c r="C6" s="2"/>
      <c r="D6" s="2"/>
      <c r="E6" s="2"/>
      <c r="F6" s="2"/>
      <c r="G6" s="2"/>
      <c r="H6" s="2"/>
      <c r="I6" s="2"/>
      <c r="J6" s="2"/>
      <c r="K6" s="2"/>
      <c r="L6" s="2"/>
      <c r="M6" s="2"/>
      <c r="N6" s="2"/>
      <c r="O6" s="2"/>
      <c r="P6" s="2"/>
      <c r="Q6" s="2"/>
      <c r="R6" s="2"/>
      <c r="S6" s="2"/>
      <c r="T6" s="2"/>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row>
    <row r="7" spans="1:50" ht="18" customHeight="1" x14ac:dyDescent="0.3">
      <c r="A7" s="1"/>
      <c r="B7" s="1"/>
      <c r="C7" s="171"/>
      <c r="D7" s="171"/>
      <c r="E7" s="171"/>
      <c r="F7" s="171"/>
      <c r="G7" s="171"/>
      <c r="H7" s="171"/>
      <c r="I7" s="171"/>
      <c r="J7" s="171"/>
      <c r="K7" s="116"/>
      <c r="L7" s="116"/>
      <c r="M7" s="116"/>
      <c r="N7" s="116"/>
      <c r="O7" s="116"/>
      <c r="P7" s="116"/>
      <c r="Q7" s="116"/>
      <c r="R7" s="2"/>
      <c r="S7" s="2"/>
      <c r="T7" s="2"/>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row>
    <row r="8" spans="1:50" ht="18" customHeight="1" thickBot="1" x14ac:dyDescent="0.35">
      <c r="A8" s="1"/>
      <c r="B8" s="52"/>
      <c r="C8" s="16">
        <v>2016</v>
      </c>
      <c r="D8" s="16">
        <f t="shared" ref="D8:G8" si="0">C8+1</f>
        <v>2017</v>
      </c>
      <c r="E8" s="70">
        <f t="shared" si="0"/>
        <v>2018</v>
      </c>
      <c r="F8" s="70">
        <f t="shared" si="0"/>
        <v>2019</v>
      </c>
      <c r="G8" s="70">
        <f t="shared" si="0"/>
        <v>2020</v>
      </c>
      <c r="H8" s="70">
        <f t="shared" ref="H8:J8" si="1">G8+1</f>
        <v>2021</v>
      </c>
      <c r="I8" s="70">
        <f t="shared" si="1"/>
        <v>2022</v>
      </c>
      <c r="J8" s="70">
        <f t="shared" si="1"/>
        <v>2023</v>
      </c>
      <c r="K8" s="70">
        <v>2024</v>
      </c>
      <c r="L8" s="70">
        <v>2025</v>
      </c>
      <c r="M8" s="138">
        <v>2026</v>
      </c>
      <c r="N8" s="138">
        <v>2027</v>
      </c>
      <c r="O8" s="138">
        <v>2028</v>
      </c>
      <c r="P8" s="138">
        <v>2029</v>
      </c>
      <c r="Q8" s="55"/>
      <c r="R8" s="55" t="s">
        <v>501</v>
      </c>
      <c r="S8" s="2"/>
      <c r="T8" s="2"/>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row>
    <row r="9" spans="1:50" ht="18" customHeight="1" x14ac:dyDescent="0.3">
      <c r="A9" s="1"/>
      <c r="B9" s="58" t="s">
        <v>521</v>
      </c>
      <c r="C9" s="59">
        <f t="array" ref="C9:J9">RL_FIN</f>
        <v>179547.03</v>
      </c>
      <c r="D9" s="59">
        <v>256285.38</v>
      </c>
      <c r="E9" s="59">
        <v>241271</v>
      </c>
      <c r="F9" s="59">
        <v>216402</v>
      </c>
      <c r="G9" s="59">
        <v>149259</v>
      </c>
      <c r="H9" s="59">
        <v>174974</v>
      </c>
      <c r="I9" s="59">
        <v>257373</v>
      </c>
      <c r="J9" s="59">
        <v>356592</v>
      </c>
      <c r="K9" s="59">
        <f>'DRE + DCF'!K12</f>
        <v>440975</v>
      </c>
      <c r="L9" s="59">
        <f>'DRE + DCF'!L12</f>
        <v>317112.47266999999</v>
      </c>
      <c r="M9" s="128">
        <f>SUM(M10:M11)</f>
        <v>421250.40090469044</v>
      </c>
      <c r="N9" s="128">
        <f t="shared" ref="N9:P9" si="2">SUM(N10:N11)</f>
        <v>490160</v>
      </c>
      <c r="O9" s="128">
        <f t="shared" si="2"/>
        <v>554160</v>
      </c>
      <c r="P9" s="128">
        <f t="shared" si="2"/>
        <v>618160</v>
      </c>
      <c r="Q9" s="59"/>
      <c r="R9" s="54"/>
      <c r="S9" s="2"/>
      <c r="T9" s="2"/>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row>
    <row r="10" spans="1:50" ht="18" customHeight="1" x14ac:dyDescent="0.3">
      <c r="A10" s="1"/>
      <c r="B10" s="20" t="s">
        <v>519</v>
      </c>
      <c r="C10" s="32">
        <v>0</v>
      </c>
      <c r="D10" s="32">
        <v>0</v>
      </c>
      <c r="E10" s="32">
        <v>0</v>
      </c>
      <c r="F10" s="32">
        <v>0</v>
      </c>
      <c r="G10" s="32">
        <v>0</v>
      </c>
      <c r="H10" s="32">
        <v>700</v>
      </c>
      <c r="I10" s="32">
        <v>134173</v>
      </c>
      <c r="J10" s="32">
        <v>314692</v>
      </c>
      <c r="K10" s="73">
        <v>440975.07042000134</v>
      </c>
      <c r="L10" s="73">
        <f>L9</f>
        <v>317112.47266999999</v>
      </c>
      <c r="M10" s="130">
        <f>M12*M14</f>
        <v>421250.40090469044</v>
      </c>
      <c r="N10" s="130">
        <f t="shared" ref="N10:P10" si="3">N12*N14</f>
        <v>490160</v>
      </c>
      <c r="O10" s="130">
        <f t="shared" si="3"/>
        <v>554160</v>
      </c>
      <c r="P10" s="130">
        <f t="shared" si="3"/>
        <v>618160</v>
      </c>
      <c r="Q10" s="73"/>
      <c r="R10" s="61"/>
      <c r="S10" s="2"/>
      <c r="T10" s="2"/>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row>
    <row r="11" spans="1:50" ht="18" customHeight="1" x14ac:dyDescent="0.3">
      <c r="A11" s="1"/>
      <c r="B11" s="20" t="s">
        <v>520</v>
      </c>
      <c r="C11" s="32">
        <v>179547.03</v>
      </c>
      <c r="D11" s="32">
        <v>256285.38</v>
      </c>
      <c r="E11" s="32">
        <v>241271</v>
      </c>
      <c r="F11" s="32">
        <v>216402</v>
      </c>
      <c r="G11" s="32">
        <v>149259</v>
      </c>
      <c r="H11" s="32">
        <v>174274</v>
      </c>
      <c r="I11" s="32">
        <v>123200</v>
      </c>
      <c r="J11" s="32">
        <v>41900</v>
      </c>
      <c r="K11" s="73">
        <v>0</v>
      </c>
      <c r="L11" s="73">
        <v>0</v>
      </c>
      <c r="M11" s="130">
        <v>0</v>
      </c>
      <c r="N11" s="130">
        <v>0</v>
      </c>
      <c r="O11" s="130">
        <v>0</v>
      </c>
      <c r="P11" s="130">
        <v>0</v>
      </c>
      <c r="Q11" s="32"/>
      <c r="R11" s="61" t="s">
        <v>937</v>
      </c>
      <c r="S11" s="2"/>
      <c r="T11" s="2"/>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row>
    <row r="12" spans="1:50" ht="18" customHeight="1" x14ac:dyDescent="0.3">
      <c r="A12" s="1"/>
      <c r="B12" s="58" t="s">
        <v>525</v>
      </c>
      <c r="C12" s="59">
        <v>0</v>
      </c>
      <c r="D12" s="59">
        <v>0</v>
      </c>
      <c r="E12" s="59">
        <v>0</v>
      </c>
      <c r="F12" s="59">
        <v>0</v>
      </c>
      <c r="G12" s="59">
        <v>0</v>
      </c>
      <c r="H12" s="59">
        <f>H13</f>
        <v>402</v>
      </c>
      <c r="I12" s="59">
        <f>H12+I13</f>
        <v>2567</v>
      </c>
      <c r="J12" s="59">
        <f>I12+J13</f>
        <v>5012</v>
      </c>
      <c r="K12" s="59">
        <f>CARTOES_TOTAL_2023+K13</f>
        <v>7194</v>
      </c>
      <c r="L12" s="59">
        <f>K12+L13</f>
        <v>9054</v>
      </c>
      <c r="M12" s="128">
        <f t="shared" ref="M12:P12" si="4">L12+M13</f>
        <v>10654</v>
      </c>
      <c r="N12" s="128">
        <f t="shared" si="4"/>
        <v>12254</v>
      </c>
      <c r="O12" s="128">
        <f t="shared" si="4"/>
        <v>13854</v>
      </c>
      <c r="P12" s="128">
        <f t="shared" si="4"/>
        <v>15454</v>
      </c>
      <c r="Q12" s="59"/>
      <c r="R12" s="61"/>
      <c r="S12" s="2"/>
      <c r="T12" s="2"/>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row>
    <row r="13" spans="1:50" ht="18" customHeight="1" x14ac:dyDescent="0.3">
      <c r="A13" s="1"/>
      <c r="B13" s="20" t="s">
        <v>526</v>
      </c>
      <c r="C13" s="32">
        <v>0</v>
      </c>
      <c r="D13" s="32">
        <v>0</v>
      </c>
      <c r="E13" s="32">
        <v>0</v>
      </c>
      <c r="F13" s="32">
        <v>0</v>
      </c>
      <c r="G13" s="32">
        <v>0</v>
      </c>
      <c r="H13" s="32">
        <v>402</v>
      </c>
      <c r="I13" s="32">
        <v>2165</v>
      </c>
      <c r="J13" s="32">
        <v>2445</v>
      </c>
      <c r="K13" s="32">
        <v>2182</v>
      </c>
      <c r="L13" s="32">
        <v>1860</v>
      </c>
      <c r="M13" s="126">
        <v>1600</v>
      </c>
      <c r="N13" s="126">
        <v>1600</v>
      </c>
      <c r="O13" s="126">
        <v>1600</v>
      </c>
      <c r="P13" s="126">
        <v>1600</v>
      </c>
      <c r="Q13" s="126"/>
      <c r="R13" s="61" t="s">
        <v>930</v>
      </c>
      <c r="S13" s="2"/>
      <c r="T13" s="2"/>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row>
    <row r="14" spans="1:50" ht="18" customHeight="1" x14ac:dyDescent="0.3">
      <c r="A14" s="1"/>
      <c r="B14" s="58" t="s">
        <v>529</v>
      </c>
      <c r="C14" s="32">
        <v>0</v>
      </c>
      <c r="D14" s="32">
        <v>0</v>
      </c>
      <c r="E14" s="32">
        <v>0</v>
      </c>
      <c r="F14" s="32">
        <v>0</v>
      </c>
      <c r="G14" s="32">
        <v>0</v>
      </c>
      <c r="H14" s="59">
        <f>H10/H12</f>
        <v>1.7412935323383085</v>
      </c>
      <c r="I14" s="59">
        <f>I10/I12</f>
        <v>52.268406700428514</v>
      </c>
      <c r="J14" s="59">
        <f>J10/J12</f>
        <v>62.787709497206706</v>
      </c>
      <c r="K14" s="59">
        <f t="shared" ref="K14:L14" si="5">K10/K12</f>
        <v>61.297618907423036</v>
      </c>
      <c r="L14" s="59">
        <f t="shared" si="5"/>
        <v>35.024571755025399</v>
      </c>
      <c r="M14" s="128">
        <f>_xlfn.FORECAST.LINEAR(M8,$I$14:$L$14,$I$8:$L$8)</f>
        <v>39.539177858521725</v>
      </c>
      <c r="N14" s="128">
        <v>40</v>
      </c>
      <c r="O14" s="128">
        <v>40</v>
      </c>
      <c r="P14" s="128">
        <v>40</v>
      </c>
      <c r="Q14" s="128"/>
      <c r="R14" s="61" t="s">
        <v>931</v>
      </c>
      <c r="S14" s="2"/>
      <c r="T14" s="2"/>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row>
    <row r="15" spans="1:50" ht="18" customHeight="1" x14ac:dyDescent="0.3">
      <c r="A15" s="1"/>
      <c r="B15" s="58" t="s">
        <v>524</v>
      </c>
      <c r="C15" s="131">
        <v>0</v>
      </c>
      <c r="D15" s="131">
        <v>0</v>
      </c>
      <c r="E15" s="131">
        <v>0</v>
      </c>
      <c r="F15" s="131">
        <v>0</v>
      </c>
      <c r="G15" s="131">
        <v>0</v>
      </c>
      <c r="H15" s="131">
        <v>0</v>
      </c>
      <c r="I15" s="59">
        <v>562632</v>
      </c>
      <c r="J15" s="59">
        <v>963020</v>
      </c>
      <c r="K15" s="59">
        <v>1225708</v>
      </c>
      <c r="L15" s="59">
        <v>1214131.4959454499</v>
      </c>
      <c r="M15" s="128">
        <f>M12*M16</f>
        <v>1428689.7457259579</v>
      </c>
      <c r="N15" s="128">
        <f t="shared" ref="N15:P15" si="6">N12*N16</f>
        <v>1643247.9955064661</v>
      </c>
      <c r="O15" s="128">
        <f t="shared" si="6"/>
        <v>1857806.2452869741</v>
      </c>
      <c r="P15" s="128">
        <f t="shared" si="6"/>
        <v>2072364.4950674821</v>
      </c>
      <c r="Q15" s="59"/>
      <c r="R15" s="61"/>
      <c r="S15" s="2"/>
      <c r="T15" s="2"/>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0" ht="18" customHeight="1" x14ac:dyDescent="0.3">
      <c r="A16" s="1"/>
      <c r="B16" s="58" t="s">
        <v>527</v>
      </c>
      <c r="C16" s="71">
        <f t="shared" ref="C16:J16" si="7">IFERROR(C15/C12,0)</f>
        <v>0</v>
      </c>
      <c r="D16" s="71">
        <f t="shared" si="7"/>
        <v>0</v>
      </c>
      <c r="E16" s="71">
        <f t="shared" si="7"/>
        <v>0</v>
      </c>
      <c r="F16" s="71">
        <f t="shared" si="7"/>
        <v>0</v>
      </c>
      <c r="G16" s="71">
        <f t="shared" si="7"/>
        <v>0</v>
      </c>
      <c r="H16" s="71">
        <f t="shared" si="7"/>
        <v>0</v>
      </c>
      <c r="I16" s="71">
        <f t="shared" si="7"/>
        <v>219.17880794701986</v>
      </c>
      <c r="J16" s="71">
        <f t="shared" si="7"/>
        <v>192.14285714285714</v>
      </c>
      <c r="K16" s="71">
        <f t="shared" ref="K16:L16" si="8">IFERROR(K15/K12,0)</f>
        <v>170.37920489296636</v>
      </c>
      <c r="L16" s="71">
        <f t="shared" si="8"/>
        <v>134.09890611281753</v>
      </c>
      <c r="M16" s="126">
        <f>L16</f>
        <v>134.09890611281753</v>
      </c>
      <c r="N16" s="126">
        <f t="shared" ref="N16:P16" si="9">M16</f>
        <v>134.09890611281753</v>
      </c>
      <c r="O16" s="126">
        <f t="shared" si="9"/>
        <v>134.09890611281753</v>
      </c>
      <c r="P16" s="126">
        <f t="shared" si="9"/>
        <v>134.09890611281753</v>
      </c>
      <c r="Q16" s="71"/>
      <c r="R16" s="61"/>
      <c r="S16" s="2"/>
      <c r="T16" s="2"/>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ht="18" customHeight="1" x14ac:dyDescent="0.3">
      <c r="A17" s="1"/>
      <c r="B17" s="58" t="s">
        <v>522</v>
      </c>
      <c r="C17" s="71">
        <f t="array" ref="C17:J17">PERDAS_CREDITOS_LIQUIDAS</f>
        <v>0</v>
      </c>
      <c r="D17" s="71">
        <v>0</v>
      </c>
      <c r="E17" s="71">
        <v>0</v>
      </c>
      <c r="F17" s="71">
        <v>0</v>
      </c>
      <c r="G17" s="71">
        <v>0</v>
      </c>
      <c r="H17" s="71">
        <v>-492</v>
      </c>
      <c r="I17" s="71">
        <v>-64271</v>
      </c>
      <c r="J17" s="71">
        <v>-223878</v>
      </c>
      <c r="K17" s="71">
        <f>'DRE + DCF'!K42</f>
        <v>-202442</v>
      </c>
      <c r="L17" s="71">
        <f>'DRE + DCF'!L42</f>
        <v>-134301</v>
      </c>
      <c r="M17" s="126">
        <f>M12*M18</f>
        <v>-158034.33333333334</v>
      </c>
      <c r="N17" s="126">
        <f t="shared" ref="N17:P17" si="10">N12*N18</f>
        <v>-181767.66666666669</v>
      </c>
      <c r="O17" s="126">
        <f t="shared" si="10"/>
        <v>-205501</v>
      </c>
      <c r="P17" s="126">
        <f t="shared" si="10"/>
        <v>-229234.33333333334</v>
      </c>
      <c r="Q17" s="71"/>
      <c r="R17" s="61"/>
      <c r="S17" s="2"/>
      <c r="T17" s="2"/>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ht="18" customHeight="1" x14ac:dyDescent="0.3">
      <c r="A18" s="1"/>
      <c r="B18" s="20" t="s">
        <v>538</v>
      </c>
      <c r="C18" s="71">
        <f t="shared" ref="C18:J18" si="11">IFERROR(C17/C12,0)</f>
        <v>0</v>
      </c>
      <c r="D18" s="71">
        <f t="shared" si="11"/>
        <v>0</v>
      </c>
      <c r="E18" s="71">
        <f t="shared" si="11"/>
        <v>0</v>
      </c>
      <c r="F18" s="71">
        <f t="shared" si="11"/>
        <v>0</v>
      </c>
      <c r="G18" s="71">
        <f t="shared" si="11"/>
        <v>0</v>
      </c>
      <c r="H18" s="71">
        <f t="shared" si="11"/>
        <v>-1.2238805970149254</v>
      </c>
      <c r="I18" s="71">
        <f t="shared" si="11"/>
        <v>-25.037397740553175</v>
      </c>
      <c r="J18" s="71">
        <f t="shared" si="11"/>
        <v>-44.668395849960099</v>
      </c>
      <c r="K18" s="71">
        <f t="shared" ref="K18:L18" si="12">IFERROR(K17/K12,0)</f>
        <v>-28.140394773422297</v>
      </c>
      <c r="L18" s="71">
        <f t="shared" si="12"/>
        <v>-14.833333333333334</v>
      </c>
      <c r="M18" s="126">
        <f>L18</f>
        <v>-14.833333333333334</v>
      </c>
      <c r="N18" s="126">
        <f t="shared" ref="N18:P18" si="13">M18</f>
        <v>-14.833333333333334</v>
      </c>
      <c r="O18" s="126">
        <f t="shared" si="13"/>
        <v>-14.833333333333334</v>
      </c>
      <c r="P18" s="126">
        <f t="shared" si="13"/>
        <v>-14.833333333333334</v>
      </c>
      <c r="Q18" s="71"/>
      <c r="R18" s="61" t="s">
        <v>938</v>
      </c>
      <c r="S18" s="2"/>
      <c r="T18" s="2"/>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0" ht="18" customHeight="1" x14ac:dyDescent="0.3">
      <c r="A19" s="1"/>
      <c r="B19" s="108" t="s">
        <v>523</v>
      </c>
      <c r="C19" s="43">
        <f t="shared" ref="C19:J19" si="14">-IFERROR(C17/C15,0)</f>
        <v>0</v>
      </c>
      <c r="D19" s="43">
        <f t="shared" si="14"/>
        <v>0</v>
      </c>
      <c r="E19" s="43">
        <f t="shared" si="14"/>
        <v>0</v>
      </c>
      <c r="F19" s="43">
        <f t="shared" si="14"/>
        <v>0</v>
      </c>
      <c r="G19" s="43">
        <f t="shared" si="14"/>
        <v>0</v>
      </c>
      <c r="H19" s="43">
        <f t="shared" si="14"/>
        <v>0</v>
      </c>
      <c r="I19" s="112">
        <f t="shared" si="14"/>
        <v>0.11423274893713831</v>
      </c>
      <c r="J19" s="112">
        <f t="shared" si="14"/>
        <v>0.23247492263919753</v>
      </c>
      <c r="K19" s="112">
        <f t="shared" ref="K19:P19" si="15">-IFERROR(K17/K15,0)</f>
        <v>0.16516331785384447</v>
      </c>
      <c r="L19" s="112">
        <f t="shared" si="15"/>
        <v>0.11061487198750179</v>
      </c>
      <c r="M19" s="112">
        <f t="shared" si="15"/>
        <v>0.11061487198750181</v>
      </c>
      <c r="N19" s="112">
        <f t="shared" si="15"/>
        <v>0.11061487198750181</v>
      </c>
      <c r="O19" s="112">
        <f t="shared" si="15"/>
        <v>0.11061487198750179</v>
      </c>
      <c r="P19" s="112">
        <f t="shared" si="15"/>
        <v>0.11061487198750181</v>
      </c>
      <c r="Q19" s="43"/>
      <c r="R19" s="61"/>
      <c r="S19" s="2"/>
      <c r="T19" s="2"/>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0" spans="1:50" ht="18" customHeight="1" x14ac:dyDescent="0.3">
      <c r="A20" s="1"/>
      <c r="B20" s="58"/>
      <c r="C20" s="32"/>
      <c r="D20" s="32"/>
      <c r="E20" s="56"/>
      <c r="F20" s="56"/>
      <c r="G20" s="56"/>
      <c r="H20" s="56"/>
      <c r="I20" s="56"/>
      <c r="J20" s="56"/>
      <c r="K20" s="56"/>
      <c r="L20" s="56"/>
      <c r="M20" s="56"/>
      <c r="N20" s="56"/>
      <c r="O20" s="56"/>
      <c r="P20" s="56"/>
      <c r="Q20" s="56"/>
      <c r="R20" s="6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row>
    <row r="21" spans="1:50" ht="18" customHeight="1" x14ac:dyDescent="0.3">
      <c r="A21" s="1"/>
      <c r="B21" s="58"/>
      <c r="C21" s="32"/>
      <c r="D21" s="32"/>
      <c r="E21" s="56"/>
      <c r="F21" s="56"/>
      <c r="G21" s="56"/>
      <c r="H21" s="56"/>
      <c r="I21" s="56"/>
      <c r="J21" s="56"/>
      <c r="K21" s="56"/>
      <c r="L21" s="56"/>
      <c r="M21" s="56"/>
      <c r="N21" s="56"/>
      <c r="O21" s="56"/>
      <c r="P21" s="56"/>
      <c r="Q21" s="56"/>
      <c r="R21" s="6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row>
    <row r="22" spans="1:50" ht="18" customHeight="1" collapsed="1" x14ac:dyDescent="0.3">
      <c r="A22" s="1"/>
      <c r="B22" s="58"/>
      <c r="C22" s="71"/>
      <c r="D22" s="71"/>
      <c r="E22" s="71"/>
      <c r="F22" s="71"/>
      <c r="G22" s="71"/>
      <c r="H22" s="71"/>
      <c r="I22" s="71"/>
      <c r="J22" s="71"/>
      <c r="K22" s="71"/>
      <c r="L22" s="71"/>
      <c r="M22" s="71"/>
      <c r="N22" s="71"/>
      <c r="O22" s="71"/>
      <c r="P22" s="71"/>
      <c r="Q22" s="71"/>
      <c r="R22" s="56"/>
      <c r="S22" s="56"/>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row>
    <row r="23" spans="1:50" ht="18" customHeight="1" x14ac:dyDescent="0.3">
      <c r="A23" s="1"/>
      <c r="B23" s="58"/>
      <c r="C23" s="46"/>
      <c r="D23" s="46"/>
      <c r="E23" s="62"/>
      <c r="F23" s="62"/>
      <c r="G23" s="62"/>
      <c r="H23" s="62"/>
      <c r="I23" s="62"/>
      <c r="J23" s="62"/>
      <c r="K23" s="62"/>
      <c r="L23" s="62"/>
      <c r="M23" s="62"/>
      <c r="N23" s="62"/>
      <c r="O23" s="62"/>
      <c r="P23" s="62"/>
      <c r="Q23" s="62"/>
      <c r="R23" s="56"/>
      <c r="S23" s="56"/>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18" customHeight="1" x14ac:dyDescent="0.3">
      <c r="A24" s="1"/>
      <c r="B24" s="12"/>
      <c r="C24" s="24"/>
      <c r="D24" s="24"/>
      <c r="E24" s="24"/>
      <c r="F24" s="24"/>
      <c r="G24" s="24"/>
      <c r="H24" s="24"/>
      <c r="I24" s="24"/>
      <c r="J24" s="24"/>
      <c r="K24" s="24"/>
      <c r="L24" s="24"/>
      <c r="M24" s="24"/>
      <c r="N24" s="24"/>
      <c r="O24" s="24"/>
      <c r="P24" s="24"/>
      <c r="Q24" s="24"/>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18" customHeight="1" x14ac:dyDescent="0.3">
      <c r="A25" s="1"/>
      <c r="B25" s="1"/>
      <c r="C25" s="1"/>
      <c r="D25" s="1"/>
      <c r="E25" s="1"/>
      <c r="F25" s="44"/>
      <c r="G25" s="44"/>
      <c r="H25" s="44"/>
      <c r="I25" s="1"/>
      <c r="J25" s="1"/>
      <c r="K25" s="1"/>
      <c r="L25" s="1"/>
      <c r="M25" s="1"/>
      <c r="N25" s="1"/>
      <c r="O25" s="1"/>
      <c r="P25" s="1"/>
      <c r="Q25" s="1"/>
      <c r="R25" s="2"/>
      <c r="S25" s="2"/>
      <c r="T25" s="2"/>
      <c r="U25" s="1"/>
      <c r="V25" s="1"/>
      <c r="W25" s="1"/>
      <c r="X25" s="1"/>
      <c r="Y25" s="5"/>
      <c r="Z25" s="5"/>
      <c r="AA25" s="5"/>
      <c r="AB25" s="1"/>
      <c r="AC25" s="1"/>
      <c r="AD25" s="1"/>
      <c r="AE25" s="1"/>
      <c r="AF25" s="1"/>
      <c r="AG25" s="1"/>
      <c r="AH25" s="1"/>
      <c r="AI25" s="1"/>
      <c r="AJ25" s="1"/>
      <c r="AK25" s="1"/>
      <c r="AL25" s="1"/>
      <c r="AM25" s="1"/>
      <c r="AN25" s="1"/>
      <c r="AO25" s="1"/>
      <c r="AP25" s="1"/>
      <c r="AQ25" s="1"/>
      <c r="AR25" s="1"/>
      <c r="AS25" s="1"/>
      <c r="AT25" s="1"/>
      <c r="AU25" s="1"/>
      <c r="AV25" s="1"/>
      <c r="AW25" s="1"/>
      <c r="AX25" s="1"/>
    </row>
    <row r="26" spans="1:50" ht="18" customHeight="1" x14ac:dyDescent="0.3">
      <c r="A26" s="1"/>
      <c r="B26" s="1"/>
      <c r="C26" s="1"/>
      <c r="D26" s="1"/>
      <c r="E26" s="1"/>
      <c r="F26" s="44"/>
      <c r="G26" s="44"/>
      <c r="H26" s="44"/>
      <c r="I26" s="1"/>
      <c r="J26" s="1"/>
      <c r="K26" s="1"/>
      <c r="L26" s="1"/>
      <c r="M26" s="1"/>
      <c r="N26" s="1"/>
      <c r="O26" s="1"/>
      <c r="P26" s="1"/>
      <c r="Q26" s="1"/>
      <c r="R26" s="2"/>
      <c r="S26" s="2"/>
      <c r="T26" s="2"/>
      <c r="U26" s="1"/>
      <c r="V26" s="1"/>
      <c r="W26" s="1"/>
      <c r="X26" s="1"/>
      <c r="Y26" s="5"/>
      <c r="Z26" s="5"/>
      <c r="AA26" s="5"/>
      <c r="AB26" s="1"/>
      <c r="AC26" s="1"/>
      <c r="AD26" s="1"/>
      <c r="AE26" s="1"/>
      <c r="AF26" s="1"/>
      <c r="AG26" s="1"/>
      <c r="AH26" s="1"/>
      <c r="AI26" s="1"/>
      <c r="AJ26" s="1"/>
      <c r="AK26" s="1"/>
      <c r="AL26" s="1"/>
      <c r="AM26" s="1"/>
      <c r="AN26" s="1"/>
      <c r="AO26" s="1"/>
      <c r="AP26" s="1"/>
      <c r="AQ26" s="1"/>
      <c r="AR26" s="1"/>
      <c r="AS26" s="1"/>
      <c r="AT26" s="1"/>
      <c r="AU26" s="1"/>
      <c r="AV26" s="1"/>
      <c r="AW26" s="1"/>
      <c r="AX26" s="1"/>
    </row>
    <row r="27" spans="1:50" ht="18" customHeight="1" x14ac:dyDescent="0.3">
      <c r="A27" s="1"/>
      <c r="B27" s="1"/>
      <c r="C27" s="1"/>
      <c r="D27" s="1"/>
      <c r="E27" s="1"/>
      <c r="F27" s="44"/>
      <c r="G27" s="44"/>
      <c r="H27" s="44"/>
      <c r="I27" s="1"/>
      <c r="J27" s="1"/>
      <c r="K27" s="1"/>
      <c r="L27" s="1"/>
      <c r="M27" s="1"/>
      <c r="N27" s="1"/>
      <c r="O27" s="1"/>
      <c r="P27" s="1"/>
      <c r="Q27" s="1"/>
      <c r="R27" s="2"/>
      <c r="S27" s="2"/>
      <c r="T27" s="2"/>
      <c r="U27" s="1"/>
      <c r="V27" s="1"/>
      <c r="W27" s="1"/>
      <c r="X27" s="1"/>
      <c r="Y27" s="5"/>
      <c r="Z27" s="5"/>
      <c r="AA27" s="5"/>
      <c r="AB27" s="1"/>
      <c r="AC27" s="1"/>
      <c r="AD27" s="1"/>
      <c r="AE27" s="1"/>
      <c r="AF27" s="1"/>
      <c r="AG27" s="1"/>
      <c r="AH27" s="1"/>
      <c r="AI27" s="1"/>
      <c r="AJ27" s="1"/>
      <c r="AK27" s="1"/>
      <c r="AL27" s="1"/>
      <c r="AM27" s="1"/>
      <c r="AN27" s="1"/>
      <c r="AO27" s="1"/>
      <c r="AP27" s="1"/>
      <c r="AQ27" s="1"/>
      <c r="AR27" s="1"/>
      <c r="AS27" s="1"/>
      <c r="AT27" s="1"/>
      <c r="AU27" s="1"/>
      <c r="AV27" s="1"/>
      <c r="AW27" s="1"/>
      <c r="AX27" s="1"/>
    </row>
    <row r="28" spans="1:50" ht="18" customHeight="1" x14ac:dyDescent="0.3">
      <c r="A28" s="1"/>
      <c r="B28" s="1"/>
      <c r="C28" s="1"/>
      <c r="D28" s="1"/>
      <c r="E28" s="1"/>
      <c r="F28" s="44"/>
      <c r="G28" s="44"/>
      <c r="H28" s="44"/>
      <c r="I28" s="1"/>
      <c r="J28" s="1"/>
      <c r="K28" s="1"/>
      <c r="L28" s="1"/>
      <c r="M28" s="1"/>
      <c r="N28" s="1"/>
      <c r="O28" s="1"/>
      <c r="P28" s="1"/>
      <c r="Q28" s="1"/>
      <c r="R28" s="2"/>
      <c r="S28" s="2"/>
      <c r="T28" s="2"/>
      <c r="U28" s="1"/>
      <c r="V28" s="1"/>
      <c r="W28" s="1"/>
      <c r="X28" s="1"/>
      <c r="Y28" s="5"/>
      <c r="Z28" s="5"/>
      <c r="AA28" s="5"/>
      <c r="AB28" s="1"/>
      <c r="AC28" s="1"/>
      <c r="AD28" s="1"/>
      <c r="AE28" s="1"/>
      <c r="AF28" s="1"/>
      <c r="AG28" s="1"/>
      <c r="AH28" s="1"/>
      <c r="AI28" s="1"/>
      <c r="AJ28" s="1"/>
      <c r="AK28" s="1"/>
      <c r="AL28" s="1"/>
      <c r="AM28" s="1"/>
      <c r="AN28" s="1"/>
      <c r="AO28" s="1"/>
      <c r="AP28" s="1"/>
      <c r="AQ28" s="1"/>
      <c r="AR28" s="1"/>
      <c r="AS28" s="1"/>
      <c r="AT28" s="1"/>
      <c r="AU28" s="1"/>
      <c r="AV28" s="1"/>
      <c r="AW28" s="1"/>
      <c r="AX28" s="1"/>
    </row>
    <row r="29" spans="1:50" ht="18" customHeight="1" x14ac:dyDescent="0.3">
      <c r="A29" s="1"/>
      <c r="B29" s="1"/>
      <c r="C29" s="1"/>
      <c r="D29" s="1"/>
      <c r="E29" s="1"/>
      <c r="F29" s="44"/>
      <c r="G29" s="44"/>
      <c r="H29" s="44"/>
      <c r="I29" s="1"/>
      <c r="J29" s="1"/>
      <c r="K29" s="1"/>
      <c r="L29" s="1"/>
      <c r="M29" s="1"/>
      <c r="N29" s="1"/>
      <c r="O29" s="1"/>
      <c r="P29" s="1"/>
      <c r="Q29" s="1"/>
      <c r="R29" s="2"/>
      <c r="S29" s="2"/>
      <c r="T29" s="2"/>
      <c r="U29" s="1"/>
      <c r="V29" s="1"/>
      <c r="W29" s="1"/>
      <c r="X29" s="1"/>
      <c r="Y29" s="5"/>
      <c r="Z29" s="5"/>
      <c r="AA29" s="5"/>
      <c r="AB29" s="1"/>
      <c r="AC29" s="1"/>
      <c r="AD29" s="1"/>
      <c r="AE29" s="1"/>
      <c r="AF29" s="1"/>
      <c r="AG29" s="1"/>
      <c r="AH29" s="1"/>
      <c r="AI29" s="1"/>
      <c r="AJ29" s="1"/>
      <c r="AK29" s="1"/>
      <c r="AL29" s="1"/>
      <c r="AM29" s="1"/>
      <c r="AN29" s="1"/>
      <c r="AO29" s="1"/>
      <c r="AP29" s="1"/>
      <c r="AQ29" s="1"/>
      <c r="AR29" s="1"/>
      <c r="AS29" s="1"/>
      <c r="AT29" s="1"/>
      <c r="AU29" s="1"/>
      <c r="AV29" s="1"/>
      <c r="AW29" s="1"/>
      <c r="AX29" s="1"/>
    </row>
    <row r="30" spans="1:50" ht="18" customHeight="1" x14ac:dyDescent="0.3">
      <c r="A30" s="1"/>
      <c r="B30" s="1"/>
      <c r="C30" s="1"/>
      <c r="D30" s="1"/>
      <c r="E30" s="1"/>
      <c r="F30" s="44"/>
      <c r="G30" s="44"/>
      <c r="H30" s="44"/>
      <c r="I30" s="1"/>
      <c r="J30" s="1"/>
      <c r="K30" s="1"/>
      <c r="L30" s="1"/>
      <c r="M30" s="1"/>
      <c r="N30" s="1"/>
      <c r="O30" s="1"/>
      <c r="P30" s="1"/>
      <c r="Q30" s="1"/>
      <c r="R30" s="2"/>
      <c r="S30" s="2"/>
      <c r="T30" s="2"/>
      <c r="U30" s="1"/>
      <c r="V30" s="1"/>
      <c r="W30" s="1"/>
      <c r="X30" s="1"/>
      <c r="Y30" s="5"/>
      <c r="Z30" s="5"/>
      <c r="AA30" s="5"/>
      <c r="AB30" s="1"/>
      <c r="AC30" s="1"/>
      <c r="AD30" s="1"/>
      <c r="AE30" s="1"/>
      <c r="AF30" s="1"/>
      <c r="AG30" s="1"/>
      <c r="AH30" s="1"/>
      <c r="AI30" s="1"/>
      <c r="AJ30" s="1"/>
      <c r="AK30" s="1"/>
      <c r="AL30" s="1"/>
      <c r="AM30" s="1"/>
      <c r="AN30" s="1"/>
      <c r="AO30" s="1"/>
      <c r="AP30" s="1"/>
      <c r="AQ30" s="1"/>
      <c r="AR30" s="1"/>
      <c r="AS30" s="1"/>
      <c r="AT30" s="1"/>
      <c r="AU30" s="1"/>
      <c r="AV30" s="1"/>
      <c r="AW30" s="1"/>
      <c r="AX30" s="1"/>
    </row>
    <row r="31" spans="1:50" ht="18" customHeight="1" collapsed="1" x14ac:dyDescent="0.3">
      <c r="A31" s="1"/>
      <c r="B31" s="1"/>
      <c r="C31" s="1"/>
      <c r="D31" s="1"/>
      <c r="E31" s="1"/>
      <c r="F31" s="44"/>
      <c r="G31" s="44"/>
      <c r="H31" s="44"/>
      <c r="I31" s="1"/>
      <c r="J31" s="1"/>
      <c r="K31" s="1"/>
      <c r="L31" s="1"/>
      <c r="M31" s="1"/>
      <c r="N31" s="1"/>
      <c r="O31" s="1"/>
      <c r="P31" s="1"/>
      <c r="Q31" s="1"/>
      <c r="R31" s="2"/>
      <c r="S31" s="2"/>
      <c r="T31" s="2"/>
      <c r="U31" s="1"/>
      <c r="V31" s="1"/>
      <c r="W31" s="1"/>
      <c r="X31" s="1"/>
      <c r="Y31" s="5"/>
      <c r="Z31" s="5"/>
      <c r="AA31" s="5"/>
      <c r="AB31" s="1"/>
      <c r="AC31" s="1"/>
      <c r="AD31" s="1"/>
      <c r="AE31" s="1"/>
      <c r="AF31" s="1"/>
      <c r="AG31" s="1"/>
      <c r="AH31" s="1"/>
      <c r="AI31" s="1"/>
      <c r="AJ31" s="1"/>
      <c r="AK31" s="1"/>
      <c r="AL31" s="1"/>
      <c r="AM31" s="1"/>
      <c r="AN31" s="1"/>
      <c r="AO31" s="1"/>
      <c r="AP31" s="1"/>
      <c r="AQ31" s="1"/>
      <c r="AR31" s="1"/>
      <c r="AS31" s="1"/>
      <c r="AT31" s="1"/>
      <c r="AU31" s="1"/>
      <c r="AV31" s="1"/>
      <c r="AW31" s="1"/>
      <c r="AX31" s="1"/>
    </row>
    <row r="32" spans="1:50" ht="18" customHeight="1" x14ac:dyDescent="0.3">
      <c r="A32" s="1"/>
      <c r="B32" s="1"/>
      <c r="C32" s="1"/>
      <c r="D32" s="1"/>
      <c r="E32" s="1"/>
      <c r="F32" s="1"/>
      <c r="G32" s="1"/>
      <c r="H32" s="1"/>
      <c r="I32" s="1"/>
      <c r="J32" s="1"/>
      <c r="K32" s="1"/>
      <c r="L32" s="1"/>
      <c r="M32" s="1"/>
      <c r="N32" s="1"/>
      <c r="O32" s="1"/>
      <c r="P32" s="1"/>
      <c r="Q32" s="1"/>
      <c r="R32" s="2"/>
      <c r="S32" s="2"/>
      <c r="T32" s="2"/>
      <c r="U32" s="1"/>
      <c r="V32" s="1"/>
      <c r="W32" s="1"/>
      <c r="X32" s="1"/>
      <c r="Y32" s="5"/>
      <c r="Z32" s="5"/>
      <c r="AA32" s="5"/>
      <c r="AB32" s="1"/>
      <c r="AC32" s="1"/>
      <c r="AD32" s="1"/>
      <c r="AE32" s="1"/>
      <c r="AF32" s="1"/>
      <c r="AG32" s="1"/>
      <c r="AH32" s="1"/>
      <c r="AI32" s="1"/>
      <c r="AJ32" s="1"/>
      <c r="AK32" s="1"/>
      <c r="AL32" s="1"/>
      <c r="AM32" s="1"/>
      <c r="AN32" s="1"/>
      <c r="AO32" s="1"/>
      <c r="AP32" s="1"/>
      <c r="AQ32" s="1"/>
      <c r="AR32" s="1"/>
      <c r="AS32" s="1"/>
      <c r="AT32" s="1"/>
      <c r="AU32" s="1"/>
      <c r="AV32" s="1"/>
      <c r="AW32" s="1"/>
      <c r="AX32" s="1"/>
    </row>
    <row r="33" spans="1:50" ht="18" customHeight="1" x14ac:dyDescent="0.3">
      <c r="A33" s="1"/>
      <c r="B33" s="1"/>
      <c r="C33" s="1"/>
      <c r="D33" s="1"/>
      <c r="E33" s="1"/>
      <c r="F33" s="1"/>
      <c r="G33" s="1"/>
      <c r="H33" s="1"/>
      <c r="I33" s="1"/>
      <c r="J33" s="1"/>
      <c r="K33" s="1"/>
      <c r="L33" s="1"/>
      <c r="M33" s="1"/>
      <c r="N33" s="1"/>
      <c r="O33" s="1"/>
      <c r="P33" s="1"/>
      <c r="Q33" s="1"/>
      <c r="R33" s="2"/>
      <c r="S33" s="2"/>
      <c r="T33" s="2"/>
      <c r="U33" s="1"/>
      <c r="V33" s="1"/>
      <c r="W33" s="1"/>
      <c r="X33" s="1"/>
      <c r="Y33" s="5"/>
      <c r="Z33" s="5"/>
      <c r="AA33" s="5"/>
      <c r="AB33" s="1"/>
      <c r="AC33" s="1"/>
      <c r="AD33" s="1"/>
      <c r="AE33" s="1"/>
      <c r="AF33" s="1"/>
      <c r="AG33" s="1"/>
      <c r="AH33" s="1"/>
      <c r="AI33" s="1"/>
      <c r="AJ33" s="1"/>
      <c r="AK33" s="1"/>
      <c r="AL33" s="1"/>
      <c r="AM33" s="1"/>
      <c r="AN33" s="1"/>
      <c r="AO33" s="1"/>
      <c r="AP33" s="1"/>
      <c r="AQ33" s="1"/>
      <c r="AR33" s="1"/>
      <c r="AS33" s="1"/>
      <c r="AT33" s="1"/>
      <c r="AU33" s="1"/>
      <c r="AV33" s="1"/>
      <c r="AW33" s="1"/>
      <c r="AX33" s="1"/>
    </row>
    <row r="34" spans="1:50" ht="18" customHeight="1" x14ac:dyDescent="0.3">
      <c r="A34" s="1"/>
      <c r="B34" s="1"/>
      <c r="C34" s="1"/>
      <c r="D34" s="1"/>
      <c r="E34" s="1"/>
      <c r="F34" s="1"/>
      <c r="G34" s="1"/>
      <c r="H34" s="1"/>
      <c r="I34" s="1"/>
      <c r="J34" s="1"/>
      <c r="K34" s="1"/>
      <c r="L34" s="1"/>
      <c r="M34" s="1"/>
      <c r="N34" s="1"/>
      <c r="O34" s="1"/>
      <c r="P34" s="1"/>
      <c r="Q34" s="1"/>
      <c r="R34" s="2"/>
      <c r="S34" s="2"/>
      <c r="T34" s="2"/>
      <c r="U34" s="1"/>
      <c r="V34" s="1"/>
      <c r="W34" s="1"/>
      <c r="X34" s="1"/>
      <c r="Y34" s="5"/>
      <c r="Z34" s="5"/>
      <c r="AA34" s="5"/>
      <c r="AB34" s="1"/>
      <c r="AC34" s="1"/>
      <c r="AD34" s="1"/>
      <c r="AE34" s="1"/>
      <c r="AF34" s="1"/>
      <c r="AG34" s="1"/>
      <c r="AH34" s="1"/>
      <c r="AI34" s="1"/>
      <c r="AJ34" s="1"/>
      <c r="AK34" s="1"/>
      <c r="AL34" s="1"/>
      <c r="AM34" s="1"/>
      <c r="AN34" s="1"/>
      <c r="AO34" s="1"/>
      <c r="AP34" s="1"/>
      <c r="AQ34" s="1"/>
      <c r="AR34" s="1"/>
      <c r="AS34" s="1"/>
      <c r="AT34" s="1"/>
      <c r="AU34" s="1"/>
      <c r="AV34" s="1"/>
      <c r="AW34" s="1"/>
      <c r="AX34" s="1"/>
    </row>
    <row r="35" spans="1:50" ht="18" customHeight="1" x14ac:dyDescent="0.3">
      <c r="A35" s="1"/>
      <c r="B35" s="1"/>
      <c r="C35" s="1"/>
      <c r="D35" s="1"/>
      <c r="E35" s="1"/>
      <c r="F35" s="1"/>
      <c r="G35" s="1"/>
      <c r="H35" s="1"/>
      <c r="I35" s="1"/>
      <c r="J35" s="1"/>
      <c r="K35" s="1"/>
      <c r="L35" s="1"/>
      <c r="M35" s="1"/>
      <c r="N35" s="1"/>
      <c r="O35" s="1"/>
      <c r="P35" s="1"/>
      <c r="Q35" s="1"/>
      <c r="R35" s="2"/>
      <c r="S35" s="2"/>
      <c r="T35" s="2"/>
      <c r="U35" s="1"/>
      <c r="V35" s="1"/>
      <c r="W35" s="1"/>
      <c r="X35" s="1"/>
      <c r="Y35" s="5"/>
      <c r="Z35" s="5"/>
      <c r="AA35" s="5"/>
      <c r="AB35" s="1"/>
      <c r="AC35" s="1"/>
      <c r="AD35" s="1"/>
      <c r="AE35" s="1"/>
      <c r="AF35" s="1"/>
      <c r="AG35" s="1"/>
      <c r="AH35" s="1"/>
      <c r="AI35" s="1"/>
      <c r="AJ35" s="1"/>
      <c r="AK35" s="1"/>
      <c r="AL35" s="1"/>
      <c r="AM35" s="1"/>
      <c r="AN35" s="1"/>
      <c r="AO35" s="1"/>
      <c r="AP35" s="1"/>
      <c r="AQ35" s="1"/>
      <c r="AR35" s="1"/>
      <c r="AS35" s="1"/>
      <c r="AT35" s="1"/>
      <c r="AU35" s="1"/>
      <c r="AV35" s="1"/>
      <c r="AW35" s="1"/>
      <c r="AX35" s="1"/>
    </row>
    <row r="36" spans="1:50" ht="18" customHeight="1" x14ac:dyDescent="0.3">
      <c r="A36" s="1"/>
      <c r="B36" s="1"/>
      <c r="C36" s="1"/>
      <c r="D36" s="1"/>
      <c r="E36" s="1"/>
      <c r="F36" s="1"/>
      <c r="G36" s="1"/>
      <c r="H36" s="1"/>
      <c r="I36" s="1"/>
      <c r="J36" s="1"/>
      <c r="K36" s="1"/>
      <c r="L36" s="1"/>
      <c r="M36" s="1"/>
      <c r="N36" s="1"/>
      <c r="O36" s="1"/>
      <c r="P36" s="1"/>
      <c r="Q36" s="1"/>
      <c r="R36" s="2"/>
      <c r="S36" s="2"/>
      <c r="T36" s="2"/>
      <c r="U36" s="1"/>
      <c r="V36" s="1"/>
      <c r="W36" s="1"/>
      <c r="X36" s="1"/>
      <c r="Y36" s="5"/>
      <c r="Z36" s="5"/>
      <c r="AA36" s="5"/>
      <c r="AB36" s="1"/>
      <c r="AC36" s="1"/>
      <c r="AD36" s="1"/>
      <c r="AE36" s="1"/>
      <c r="AF36" s="1"/>
      <c r="AG36" s="1"/>
      <c r="AH36" s="1"/>
      <c r="AI36" s="1"/>
      <c r="AJ36" s="1"/>
      <c r="AK36" s="1"/>
      <c r="AL36" s="1"/>
      <c r="AM36" s="1"/>
      <c r="AN36" s="1"/>
      <c r="AO36" s="1"/>
      <c r="AP36" s="1"/>
      <c r="AQ36" s="1"/>
      <c r="AR36" s="1"/>
      <c r="AS36" s="1"/>
      <c r="AT36" s="1"/>
      <c r="AU36" s="1"/>
      <c r="AV36" s="1"/>
      <c r="AW36" s="1"/>
      <c r="AX36" s="1"/>
    </row>
    <row r="37" spans="1:50" ht="18" customHeight="1" x14ac:dyDescent="0.3">
      <c r="A37" s="1"/>
      <c r="B37" s="1"/>
      <c r="C37" s="1"/>
      <c r="D37" s="1"/>
      <c r="E37" s="1"/>
      <c r="F37" s="1"/>
      <c r="G37" s="1"/>
      <c r="H37" s="1"/>
      <c r="I37" s="1"/>
      <c r="J37" s="1"/>
      <c r="K37" s="1"/>
      <c r="L37" s="1"/>
      <c r="M37" s="1"/>
      <c r="N37" s="1"/>
      <c r="O37" s="1"/>
      <c r="P37" s="1"/>
      <c r="Q37" s="1"/>
      <c r="R37" s="2"/>
      <c r="S37" s="2"/>
      <c r="T37" s="2"/>
      <c r="U37" s="1"/>
      <c r="V37" s="1"/>
      <c r="W37" s="1"/>
      <c r="X37" s="1"/>
      <c r="Y37" s="5"/>
      <c r="Z37" s="5"/>
      <c r="AA37" s="5"/>
      <c r="AB37" s="1"/>
      <c r="AC37" s="1"/>
      <c r="AD37" s="1"/>
      <c r="AE37" s="1"/>
      <c r="AF37" s="1"/>
      <c r="AG37" s="1"/>
      <c r="AH37" s="1"/>
      <c r="AI37" s="1"/>
      <c r="AJ37" s="1"/>
      <c r="AK37" s="1"/>
      <c r="AL37" s="1"/>
      <c r="AM37" s="1"/>
      <c r="AN37" s="1"/>
      <c r="AO37" s="1"/>
      <c r="AP37" s="1"/>
      <c r="AQ37" s="1"/>
      <c r="AR37" s="1"/>
      <c r="AS37" s="1"/>
      <c r="AT37" s="1"/>
      <c r="AU37" s="1"/>
      <c r="AV37" s="1"/>
      <c r="AW37" s="1"/>
      <c r="AX37" s="1"/>
    </row>
    <row r="38" spans="1:50" ht="18" customHeight="1" x14ac:dyDescent="0.3">
      <c r="A38" s="1"/>
      <c r="B38" s="1"/>
      <c r="C38" s="1"/>
      <c r="D38" s="1"/>
      <c r="E38" s="1"/>
      <c r="F38" s="1"/>
      <c r="G38" s="1"/>
      <c r="H38" s="1"/>
      <c r="I38" s="1"/>
      <c r="J38" s="1"/>
      <c r="K38" s="1"/>
      <c r="L38" s="1"/>
      <c r="M38" s="1"/>
      <c r="N38" s="1"/>
      <c r="O38" s="1"/>
      <c r="P38" s="1"/>
      <c r="Q38" s="1"/>
      <c r="R38" s="2"/>
      <c r="S38" s="2"/>
      <c r="T38" s="2"/>
      <c r="U38" s="1"/>
      <c r="V38" s="1"/>
      <c r="W38" s="1"/>
      <c r="X38" s="1"/>
      <c r="Y38" s="5"/>
      <c r="Z38" s="5"/>
      <c r="AA38" s="5"/>
      <c r="AB38" s="1"/>
      <c r="AC38" s="1"/>
      <c r="AD38" s="1"/>
      <c r="AE38" s="1"/>
      <c r="AF38" s="1"/>
      <c r="AG38" s="1"/>
      <c r="AH38" s="1"/>
      <c r="AI38" s="1"/>
      <c r="AJ38" s="1"/>
      <c r="AK38" s="1"/>
      <c r="AL38" s="1"/>
      <c r="AM38" s="1"/>
      <c r="AN38" s="1"/>
      <c r="AO38" s="1"/>
      <c r="AP38" s="1"/>
      <c r="AQ38" s="1"/>
      <c r="AR38" s="1"/>
      <c r="AS38" s="1"/>
      <c r="AT38" s="1"/>
      <c r="AU38" s="1"/>
      <c r="AV38" s="1"/>
      <c r="AW38" s="1"/>
      <c r="AX38" s="1"/>
    </row>
    <row r="39" spans="1:50" ht="18" customHeight="1" x14ac:dyDescent="0.3">
      <c r="A39" s="1"/>
      <c r="B39" s="1"/>
      <c r="C39" s="1"/>
      <c r="D39" s="1"/>
      <c r="E39" s="1"/>
      <c r="F39" s="1"/>
      <c r="G39" s="1"/>
      <c r="H39" s="1"/>
      <c r="I39" s="1"/>
      <c r="J39" s="1"/>
      <c r="K39" s="1"/>
      <c r="L39" s="1"/>
      <c r="M39" s="1"/>
      <c r="N39" s="1"/>
      <c r="O39" s="1"/>
      <c r="P39" s="1"/>
      <c r="Q39" s="1"/>
      <c r="R39" s="2"/>
      <c r="S39" s="2"/>
      <c r="T39" s="2"/>
      <c r="U39" s="1"/>
      <c r="V39" s="1"/>
      <c r="W39" s="1"/>
      <c r="X39" s="1"/>
      <c r="Y39" s="5"/>
      <c r="Z39" s="5"/>
      <c r="AA39" s="5"/>
      <c r="AB39" s="1"/>
      <c r="AC39" s="1"/>
      <c r="AD39" s="1"/>
      <c r="AE39" s="1"/>
      <c r="AF39" s="1"/>
      <c r="AG39" s="1"/>
      <c r="AH39" s="1"/>
      <c r="AI39" s="1"/>
      <c r="AJ39" s="1"/>
      <c r="AK39" s="1"/>
      <c r="AL39" s="1"/>
      <c r="AM39" s="1"/>
      <c r="AN39" s="1"/>
      <c r="AO39" s="1"/>
      <c r="AP39" s="1"/>
      <c r="AQ39" s="1"/>
      <c r="AR39" s="1"/>
      <c r="AS39" s="1"/>
      <c r="AT39" s="1"/>
      <c r="AU39" s="1"/>
      <c r="AV39" s="1"/>
      <c r="AW39" s="1"/>
      <c r="AX39" s="1"/>
    </row>
    <row r="40" spans="1:50" ht="18" customHeight="1" collapsed="1" x14ac:dyDescent="0.3">
      <c r="A40" s="1"/>
      <c r="B40" s="1"/>
      <c r="C40" s="1"/>
      <c r="D40" s="1"/>
      <c r="E40" s="1"/>
      <c r="F40" s="1"/>
      <c r="G40" s="1"/>
      <c r="H40" s="1"/>
      <c r="I40" s="1"/>
      <c r="J40" s="1"/>
      <c r="K40" s="1"/>
      <c r="L40" s="1"/>
      <c r="M40" s="1"/>
      <c r="N40" s="1"/>
      <c r="O40" s="1"/>
      <c r="P40" s="1"/>
      <c r="Q40" s="1"/>
      <c r="R40" s="2"/>
      <c r="S40" s="2"/>
      <c r="T40" s="2"/>
      <c r="U40" s="1"/>
      <c r="V40" s="1"/>
      <c r="W40" s="1"/>
      <c r="X40" s="1"/>
      <c r="Y40" s="5"/>
      <c r="Z40" s="5"/>
      <c r="AA40" s="5"/>
      <c r="AB40" s="1"/>
      <c r="AC40" s="1"/>
      <c r="AD40" s="1"/>
      <c r="AE40" s="1"/>
      <c r="AF40" s="1"/>
      <c r="AG40" s="1"/>
      <c r="AH40" s="1"/>
      <c r="AI40" s="1"/>
      <c r="AJ40" s="1"/>
      <c r="AK40" s="1"/>
      <c r="AL40" s="1"/>
      <c r="AM40" s="1"/>
      <c r="AN40" s="1"/>
      <c r="AO40" s="1"/>
      <c r="AP40" s="1"/>
      <c r="AQ40" s="1"/>
      <c r="AR40" s="1"/>
      <c r="AS40" s="1"/>
      <c r="AT40" s="1"/>
      <c r="AU40" s="1"/>
      <c r="AV40" s="1"/>
      <c r="AW40" s="1"/>
      <c r="AX40" s="1"/>
    </row>
    <row r="41" spans="1:50" ht="18" customHeight="1" x14ac:dyDescent="0.3">
      <c r="A41" s="1"/>
      <c r="B41" s="1"/>
      <c r="C41" s="1"/>
      <c r="D41" s="1"/>
      <c r="E41" s="1"/>
      <c r="F41" s="1"/>
      <c r="G41" s="1"/>
      <c r="H41" s="1"/>
      <c r="I41" s="1"/>
      <c r="J41" s="1"/>
      <c r="K41" s="1"/>
      <c r="L41" s="1"/>
      <c r="M41" s="1"/>
      <c r="N41" s="1"/>
      <c r="O41" s="1"/>
      <c r="P41" s="1"/>
      <c r="Q41" s="1"/>
      <c r="R41" s="2"/>
      <c r="S41" s="2"/>
      <c r="T41" s="2"/>
      <c r="U41" s="1"/>
      <c r="V41" s="1"/>
      <c r="W41" s="1"/>
      <c r="X41" s="1"/>
      <c r="Y41" s="5"/>
      <c r="Z41" s="5"/>
      <c r="AA41" s="5"/>
      <c r="AB41" s="1"/>
      <c r="AC41" s="1"/>
      <c r="AD41" s="1"/>
      <c r="AE41" s="1"/>
      <c r="AF41" s="1"/>
      <c r="AG41" s="1"/>
      <c r="AH41" s="1"/>
      <c r="AI41" s="1"/>
      <c r="AJ41" s="1"/>
      <c r="AK41" s="1"/>
      <c r="AL41" s="1"/>
      <c r="AM41" s="1"/>
      <c r="AN41" s="1"/>
      <c r="AO41" s="1"/>
      <c r="AP41" s="1"/>
      <c r="AQ41" s="1"/>
      <c r="AR41" s="1"/>
      <c r="AS41" s="1"/>
      <c r="AT41" s="1"/>
      <c r="AU41" s="1"/>
      <c r="AV41" s="1"/>
      <c r="AW41" s="1"/>
      <c r="AX41" s="1"/>
    </row>
    <row r="42" spans="1:50" ht="18" customHeight="1" x14ac:dyDescent="0.3">
      <c r="A42" s="1"/>
      <c r="B42" s="1"/>
      <c r="C42" s="1"/>
      <c r="D42" s="1"/>
      <c r="E42" s="1"/>
      <c r="F42" s="1"/>
      <c r="G42" s="1"/>
      <c r="H42" s="1"/>
      <c r="I42" s="1"/>
      <c r="J42" s="1"/>
      <c r="K42" s="1"/>
      <c r="L42" s="1"/>
      <c r="M42" s="1"/>
      <c r="N42" s="1"/>
      <c r="O42" s="1"/>
      <c r="P42" s="1"/>
      <c r="Q42" s="1"/>
      <c r="R42" s="2"/>
      <c r="S42" s="2"/>
      <c r="T42" s="2"/>
      <c r="U42" s="1"/>
      <c r="V42" s="1"/>
      <c r="W42" s="1"/>
      <c r="X42" s="1"/>
      <c r="Y42" s="5"/>
      <c r="Z42" s="5"/>
      <c r="AA42" s="5"/>
      <c r="AB42" s="1"/>
      <c r="AC42" s="1"/>
      <c r="AD42" s="1"/>
      <c r="AE42" s="1"/>
      <c r="AF42" s="1"/>
      <c r="AG42" s="1"/>
      <c r="AH42" s="1"/>
      <c r="AI42" s="1"/>
      <c r="AJ42" s="1"/>
      <c r="AK42" s="1"/>
      <c r="AL42" s="1"/>
      <c r="AM42" s="1"/>
      <c r="AN42" s="1"/>
      <c r="AO42" s="1"/>
      <c r="AP42" s="1"/>
      <c r="AQ42" s="1"/>
      <c r="AR42" s="1"/>
      <c r="AS42" s="1"/>
      <c r="AT42" s="1"/>
      <c r="AU42" s="1"/>
      <c r="AV42" s="1"/>
      <c r="AW42" s="1"/>
      <c r="AX42" s="1"/>
    </row>
    <row r="43" spans="1:50" ht="18" customHeight="1" x14ac:dyDescent="0.3">
      <c r="A43" s="1"/>
      <c r="B43" s="1"/>
      <c r="C43" s="1"/>
      <c r="D43" s="1"/>
      <c r="E43" s="1"/>
      <c r="F43" s="1"/>
      <c r="G43" s="1"/>
      <c r="H43" s="1"/>
      <c r="I43" s="1"/>
      <c r="J43" s="1"/>
      <c r="K43" s="1"/>
      <c r="L43" s="1"/>
      <c r="M43" s="1"/>
      <c r="N43" s="1"/>
      <c r="O43" s="1"/>
      <c r="P43" s="1"/>
      <c r="Q43" s="1"/>
      <c r="R43" s="2"/>
      <c r="S43" s="2"/>
      <c r="T43" s="2"/>
      <c r="U43" s="1"/>
      <c r="V43" s="1"/>
      <c r="W43" s="1"/>
      <c r="X43" s="1"/>
      <c r="Y43" s="5"/>
      <c r="Z43" s="5"/>
      <c r="AA43" s="5"/>
      <c r="AB43" s="1"/>
      <c r="AC43" s="1"/>
      <c r="AD43" s="1"/>
      <c r="AE43" s="1"/>
      <c r="AF43" s="1"/>
      <c r="AG43" s="1"/>
      <c r="AH43" s="1"/>
      <c r="AI43" s="1"/>
      <c r="AJ43" s="1"/>
      <c r="AK43" s="1"/>
      <c r="AL43" s="1"/>
      <c r="AM43" s="1"/>
      <c r="AN43" s="1"/>
      <c r="AO43" s="1"/>
      <c r="AP43" s="1"/>
      <c r="AQ43" s="1"/>
      <c r="AR43" s="1"/>
      <c r="AS43" s="1"/>
      <c r="AT43" s="1"/>
      <c r="AU43" s="1"/>
      <c r="AV43" s="1"/>
      <c r="AW43" s="1"/>
      <c r="AX43" s="1"/>
    </row>
    <row r="44" spans="1:50" ht="18" customHeight="1" x14ac:dyDescent="0.3">
      <c r="A44" s="1"/>
      <c r="B44" s="1"/>
      <c r="C44" s="1"/>
      <c r="D44" s="1"/>
      <c r="E44" s="1"/>
      <c r="F44" s="1"/>
      <c r="G44" s="1"/>
      <c r="H44" s="1"/>
      <c r="I44" s="1"/>
      <c r="J44" s="1"/>
      <c r="K44" s="1"/>
      <c r="L44" s="1"/>
      <c r="M44" s="1"/>
      <c r="N44" s="1"/>
      <c r="O44" s="1"/>
      <c r="P44" s="1"/>
      <c r="Q44" s="1"/>
      <c r="R44" s="2"/>
      <c r="S44" s="2"/>
      <c r="T44" s="2"/>
      <c r="U44" s="1"/>
      <c r="V44" s="1"/>
      <c r="W44" s="1"/>
      <c r="X44" s="1"/>
      <c r="Y44" s="5"/>
      <c r="Z44" s="5"/>
      <c r="AA44" s="5"/>
      <c r="AB44" s="1"/>
      <c r="AC44" s="1"/>
      <c r="AD44" s="1"/>
      <c r="AE44" s="1"/>
      <c r="AF44" s="1"/>
      <c r="AG44" s="1"/>
      <c r="AH44" s="1"/>
      <c r="AI44" s="1"/>
      <c r="AJ44" s="1"/>
      <c r="AK44" s="1"/>
      <c r="AL44" s="1"/>
      <c r="AM44" s="1"/>
      <c r="AN44" s="1"/>
      <c r="AO44" s="1"/>
      <c r="AP44" s="1"/>
      <c r="AQ44" s="1"/>
      <c r="AR44" s="1"/>
      <c r="AS44" s="1"/>
      <c r="AT44" s="1"/>
      <c r="AU44" s="1"/>
      <c r="AV44" s="1"/>
      <c r="AW44" s="1"/>
      <c r="AX44" s="1"/>
    </row>
    <row r="45" spans="1:50" ht="18" customHeight="1" x14ac:dyDescent="0.3">
      <c r="A45" s="1"/>
      <c r="B45" s="1"/>
      <c r="C45" s="1"/>
      <c r="D45" s="1"/>
      <c r="E45" s="1"/>
      <c r="F45" s="1"/>
      <c r="G45" s="1"/>
      <c r="H45" s="1"/>
      <c r="I45" s="1"/>
      <c r="J45" s="1"/>
      <c r="K45" s="1"/>
      <c r="L45" s="1"/>
      <c r="M45" s="1"/>
      <c r="N45" s="1"/>
      <c r="O45" s="1"/>
      <c r="P45" s="1"/>
      <c r="Q45" s="1"/>
      <c r="R45" s="2"/>
      <c r="S45" s="2"/>
      <c r="T45" s="2"/>
      <c r="U45" s="1"/>
      <c r="V45" s="1"/>
      <c r="W45" s="1"/>
      <c r="X45" s="1"/>
      <c r="Y45" s="5"/>
      <c r="Z45" s="5"/>
      <c r="AA45" s="5"/>
      <c r="AB45" s="1"/>
      <c r="AC45" s="1"/>
      <c r="AD45" s="1"/>
      <c r="AE45" s="1"/>
      <c r="AF45" s="1"/>
      <c r="AG45" s="1"/>
      <c r="AH45" s="1"/>
      <c r="AI45" s="1"/>
      <c r="AJ45" s="1"/>
      <c r="AK45" s="1"/>
      <c r="AL45" s="1"/>
      <c r="AM45" s="1"/>
      <c r="AN45" s="1"/>
      <c r="AO45" s="1"/>
      <c r="AP45" s="1"/>
      <c r="AQ45" s="1"/>
      <c r="AR45" s="1"/>
      <c r="AS45" s="1"/>
      <c r="AT45" s="1"/>
      <c r="AU45" s="1"/>
      <c r="AV45" s="1"/>
      <c r="AW45" s="1"/>
      <c r="AX45" s="1"/>
    </row>
    <row r="46" spans="1:50" ht="18" customHeight="1" x14ac:dyDescent="0.3">
      <c r="A46" s="1"/>
      <c r="B46" s="1"/>
      <c r="C46" s="1"/>
      <c r="D46" s="1"/>
      <c r="E46" s="1"/>
      <c r="F46" s="1"/>
      <c r="G46" s="1"/>
      <c r="H46" s="1"/>
      <c r="I46" s="1"/>
      <c r="J46" s="1"/>
      <c r="K46" s="1"/>
      <c r="L46" s="1"/>
      <c r="M46" s="1"/>
      <c r="N46" s="1"/>
      <c r="O46" s="1"/>
      <c r="P46" s="1"/>
      <c r="Q46" s="1"/>
      <c r="R46" s="2"/>
      <c r="S46" s="2"/>
      <c r="T46" s="2"/>
      <c r="U46" s="1"/>
      <c r="V46" s="1"/>
      <c r="W46" s="1"/>
      <c r="X46" s="1"/>
      <c r="Y46" s="5"/>
      <c r="Z46" s="5"/>
      <c r="AA46" s="5"/>
      <c r="AB46" s="1"/>
      <c r="AC46" s="1"/>
      <c r="AD46" s="1"/>
      <c r="AE46" s="1"/>
      <c r="AF46" s="1"/>
      <c r="AG46" s="1"/>
      <c r="AH46" s="1"/>
      <c r="AI46" s="1"/>
      <c r="AJ46" s="1"/>
      <c r="AK46" s="1"/>
      <c r="AL46" s="1"/>
      <c r="AM46" s="1"/>
      <c r="AN46" s="1"/>
      <c r="AO46" s="1"/>
      <c r="AP46" s="1"/>
      <c r="AQ46" s="1"/>
      <c r="AR46" s="1"/>
      <c r="AS46" s="1"/>
      <c r="AT46" s="1"/>
      <c r="AU46" s="1"/>
      <c r="AV46" s="1"/>
      <c r="AW46" s="1"/>
      <c r="AX46" s="1"/>
    </row>
    <row r="47" spans="1:50" ht="18" customHeight="1" x14ac:dyDescent="0.3">
      <c r="A47" s="1"/>
      <c r="B47" s="1"/>
      <c r="C47" s="1"/>
      <c r="D47" s="1"/>
      <c r="E47" s="1"/>
      <c r="F47" s="1"/>
      <c r="G47" s="1"/>
      <c r="H47" s="1"/>
      <c r="I47" s="1"/>
      <c r="J47" s="1"/>
      <c r="K47" s="1"/>
      <c r="L47" s="1"/>
      <c r="M47" s="1"/>
      <c r="N47" s="1"/>
      <c r="O47" s="1"/>
      <c r="P47" s="1"/>
      <c r="Q47" s="1"/>
      <c r="R47" s="2"/>
      <c r="S47" s="2"/>
      <c r="T47" s="2"/>
      <c r="U47" s="1"/>
      <c r="V47" s="1"/>
      <c r="W47" s="1"/>
      <c r="X47" s="1"/>
      <c r="Y47" s="5"/>
      <c r="Z47" s="5"/>
      <c r="AA47" s="5"/>
      <c r="AB47" s="1"/>
      <c r="AC47" s="1"/>
      <c r="AD47" s="1"/>
      <c r="AE47" s="1"/>
      <c r="AF47" s="1"/>
      <c r="AG47" s="1"/>
      <c r="AH47" s="1"/>
      <c r="AI47" s="1"/>
      <c r="AJ47" s="1"/>
      <c r="AK47" s="1"/>
      <c r="AL47" s="1"/>
      <c r="AM47" s="1"/>
      <c r="AN47" s="1"/>
      <c r="AO47" s="1"/>
      <c r="AP47" s="1"/>
      <c r="AQ47" s="1"/>
      <c r="AR47" s="1"/>
      <c r="AS47" s="1"/>
      <c r="AT47" s="1"/>
      <c r="AU47" s="1"/>
      <c r="AV47" s="1"/>
      <c r="AW47" s="1"/>
      <c r="AX47" s="1"/>
    </row>
    <row r="48" spans="1:50" ht="18" customHeight="1" x14ac:dyDescent="0.3">
      <c r="A48" s="1"/>
      <c r="B48" s="1"/>
      <c r="C48" s="1"/>
      <c r="D48" s="1"/>
      <c r="E48" s="1"/>
      <c r="F48" s="1"/>
      <c r="G48" s="1"/>
      <c r="H48" s="1"/>
      <c r="I48" s="1"/>
      <c r="J48" s="1"/>
      <c r="K48" s="1"/>
      <c r="L48" s="1"/>
      <c r="M48" s="1"/>
      <c r="N48" s="1"/>
      <c r="O48" s="1"/>
      <c r="P48" s="1"/>
      <c r="Q48" s="1"/>
      <c r="R48" s="2"/>
      <c r="S48" s="2"/>
      <c r="T48" s="2"/>
      <c r="U48" s="1"/>
      <c r="V48" s="1"/>
      <c r="W48" s="1"/>
      <c r="X48" s="1"/>
      <c r="Y48" s="5"/>
      <c r="Z48" s="5"/>
      <c r="AA48" s="5"/>
      <c r="AB48" s="1"/>
      <c r="AC48" s="1"/>
      <c r="AD48" s="1"/>
      <c r="AE48" s="1"/>
      <c r="AF48" s="1"/>
      <c r="AG48" s="1"/>
      <c r="AH48" s="1"/>
      <c r="AI48" s="1"/>
      <c r="AJ48" s="1"/>
      <c r="AK48" s="1"/>
      <c r="AL48" s="1"/>
      <c r="AM48" s="1"/>
      <c r="AN48" s="1"/>
      <c r="AO48" s="1"/>
      <c r="AP48" s="1"/>
      <c r="AQ48" s="1"/>
      <c r="AR48" s="1"/>
      <c r="AS48" s="1"/>
      <c r="AT48" s="1"/>
      <c r="AU48" s="1"/>
      <c r="AV48" s="1"/>
      <c r="AW48" s="1"/>
      <c r="AX48" s="1"/>
    </row>
    <row r="49" spans="1:50" ht="18" customHeight="1" x14ac:dyDescent="0.3">
      <c r="A49" s="1"/>
      <c r="B49" s="1"/>
      <c r="C49" s="1"/>
      <c r="D49" s="1"/>
      <c r="E49" s="1"/>
      <c r="F49" s="1"/>
      <c r="G49" s="1"/>
      <c r="H49" s="1"/>
      <c r="I49" s="1"/>
      <c r="J49" s="1"/>
      <c r="K49" s="1"/>
      <c r="L49" s="1"/>
      <c r="M49" s="1"/>
      <c r="N49" s="1"/>
      <c r="O49" s="1"/>
      <c r="P49" s="1"/>
      <c r="Q49" s="1"/>
      <c r="R49" s="2"/>
      <c r="S49" s="2"/>
      <c r="T49" s="2"/>
      <c r="U49" s="1"/>
      <c r="V49" s="1"/>
      <c r="W49" s="1"/>
      <c r="X49" s="1"/>
      <c r="Y49" s="5"/>
      <c r="Z49" s="5"/>
      <c r="AA49" s="5"/>
      <c r="AB49" s="1"/>
      <c r="AC49" s="1"/>
      <c r="AD49" s="1"/>
      <c r="AE49" s="1"/>
      <c r="AF49" s="1"/>
      <c r="AG49" s="1"/>
      <c r="AH49" s="1"/>
      <c r="AI49" s="1"/>
      <c r="AJ49" s="1"/>
      <c r="AK49" s="1"/>
      <c r="AL49" s="1"/>
      <c r="AM49" s="1"/>
      <c r="AN49" s="1"/>
      <c r="AO49" s="1"/>
      <c r="AP49" s="1"/>
      <c r="AQ49" s="1"/>
      <c r="AR49" s="1"/>
      <c r="AS49" s="1"/>
      <c r="AT49" s="1"/>
      <c r="AU49" s="1"/>
      <c r="AV49" s="1"/>
      <c r="AW49" s="1"/>
      <c r="AX49" s="1"/>
    </row>
    <row r="50" spans="1:50" ht="18" customHeight="1" x14ac:dyDescent="0.3">
      <c r="A50" s="1"/>
      <c r="B50" s="1"/>
      <c r="C50" s="1"/>
      <c r="D50" s="1"/>
      <c r="E50" s="1"/>
      <c r="F50" s="1"/>
      <c r="G50" s="1"/>
      <c r="H50" s="1"/>
      <c r="I50" s="1"/>
      <c r="J50" s="1"/>
      <c r="K50" s="1"/>
      <c r="L50" s="1"/>
      <c r="M50" s="1"/>
      <c r="N50" s="1"/>
      <c r="O50" s="1"/>
      <c r="P50" s="1"/>
      <c r="Q50" s="1"/>
      <c r="R50" s="2"/>
      <c r="S50" s="2"/>
      <c r="T50" s="2"/>
      <c r="U50" s="1"/>
      <c r="V50" s="1"/>
      <c r="W50" s="1"/>
      <c r="X50" s="1"/>
      <c r="Y50" s="5"/>
      <c r="Z50" s="5"/>
      <c r="AA50" s="5"/>
      <c r="AB50" s="1"/>
      <c r="AC50" s="1"/>
      <c r="AD50" s="1"/>
      <c r="AE50" s="1"/>
      <c r="AF50" s="1"/>
      <c r="AG50" s="1"/>
      <c r="AH50" s="1"/>
      <c r="AI50" s="1"/>
      <c r="AJ50" s="1"/>
      <c r="AK50" s="1"/>
      <c r="AL50" s="1"/>
      <c r="AM50" s="1"/>
      <c r="AN50" s="1"/>
      <c r="AO50" s="1"/>
      <c r="AP50" s="1"/>
      <c r="AQ50" s="1"/>
      <c r="AR50" s="1"/>
      <c r="AS50" s="1"/>
      <c r="AT50" s="1"/>
      <c r="AU50" s="1"/>
      <c r="AV50" s="1"/>
      <c r="AW50" s="1"/>
      <c r="AX50" s="1"/>
    </row>
    <row r="51" spans="1:50" ht="18" customHeight="1" x14ac:dyDescent="0.3">
      <c r="A51" s="1"/>
      <c r="B51" s="1"/>
      <c r="C51" s="1"/>
      <c r="D51" s="1"/>
      <c r="E51" s="1"/>
      <c r="F51" s="1"/>
      <c r="G51" s="1"/>
      <c r="H51" s="1"/>
      <c r="I51" s="1"/>
      <c r="J51" s="1"/>
      <c r="K51" s="1"/>
      <c r="L51" s="1"/>
      <c r="M51" s="1"/>
      <c r="N51" s="1"/>
      <c r="O51" s="1"/>
      <c r="P51" s="1"/>
      <c r="Q51" s="1"/>
      <c r="R51" s="2"/>
      <c r="S51" s="2"/>
      <c r="T51" s="2"/>
      <c r="U51" s="1"/>
      <c r="V51" s="1"/>
      <c r="W51" s="1"/>
      <c r="X51" s="1"/>
      <c r="Y51" s="5"/>
      <c r="Z51" s="5"/>
      <c r="AA51" s="5"/>
      <c r="AB51" s="1"/>
      <c r="AC51" s="1"/>
      <c r="AD51" s="1"/>
      <c r="AE51" s="1"/>
      <c r="AF51" s="1"/>
      <c r="AG51" s="1"/>
      <c r="AH51" s="1"/>
      <c r="AI51" s="1"/>
      <c r="AJ51" s="1"/>
      <c r="AK51" s="1"/>
      <c r="AL51" s="1"/>
      <c r="AM51" s="1"/>
      <c r="AN51" s="1"/>
      <c r="AO51" s="1"/>
      <c r="AP51" s="1"/>
      <c r="AQ51" s="1"/>
      <c r="AR51" s="1"/>
      <c r="AS51" s="1"/>
      <c r="AT51" s="1"/>
      <c r="AU51" s="1"/>
      <c r="AV51" s="1"/>
      <c r="AW51" s="1"/>
      <c r="AX51" s="1"/>
    </row>
    <row r="52" spans="1:50" ht="18" customHeight="1" x14ac:dyDescent="0.3">
      <c r="A52" s="1"/>
      <c r="B52" s="1"/>
      <c r="C52" s="1"/>
      <c r="D52" s="1"/>
      <c r="E52" s="1"/>
      <c r="F52" s="1"/>
      <c r="G52" s="1"/>
      <c r="H52" s="1"/>
      <c r="I52" s="1"/>
      <c r="J52" s="1"/>
      <c r="K52" s="1"/>
      <c r="L52" s="1"/>
      <c r="M52" s="1"/>
      <c r="N52" s="1"/>
      <c r="O52" s="1"/>
      <c r="P52" s="1"/>
      <c r="Q52" s="1"/>
      <c r="R52" s="2"/>
      <c r="S52" s="2"/>
      <c r="T52" s="2"/>
      <c r="U52" s="1"/>
      <c r="V52" s="1"/>
      <c r="W52" s="1"/>
      <c r="X52" s="1"/>
      <c r="Y52" s="5"/>
      <c r="Z52" s="5"/>
      <c r="AA52" s="5"/>
      <c r="AB52" s="1"/>
      <c r="AC52" s="1"/>
      <c r="AD52" s="1"/>
      <c r="AE52" s="1"/>
      <c r="AF52" s="1"/>
      <c r="AG52" s="1"/>
      <c r="AH52" s="1"/>
      <c r="AI52" s="1"/>
      <c r="AJ52" s="1"/>
      <c r="AK52" s="1"/>
      <c r="AL52" s="1"/>
      <c r="AM52" s="1"/>
      <c r="AN52" s="1"/>
      <c r="AO52" s="1"/>
      <c r="AP52" s="1"/>
      <c r="AQ52" s="1"/>
      <c r="AR52" s="1"/>
      <c r="AS52" s="1"/>
      <c r="AT52" s="1"/>
      <c r="AU52" s="1"/>
      <c r="AV52" s="1"/>
      <c r="AW52" s="1"/>
      <c r="AX52" s="1"/>
    </row>
    <row r="53" spans="1:50" ht="18" customHeight="1" x14ac:dyDescent="0.3">
      <c r="A53" s="1"/>
      <c r="B53" s="1"/>
      <c r="C53" s="1"/>
      <c r="D53" s="1"/>
      <c r="E53" s="1"/>
      <c r="F53" s="1"/>
      <c r="G53" s="1"/>
      <c r="H53" s="1"/>
      <c r="I53" s="1"/>
      <c r="J53" s="1"/>
      <c r="K53" s="1"/>
      <c r="L53" s="1"/>
      <c r="M53" s="1"/>
      <c r="N53" s="1"/>
      <c r="O53" s="1"/>
      <c r="P53" s="1"/>
      <c r="Q53" s="1"/>
      <c r="R53" s="2"/>
      <c r="S53" s="2"/>
      <c r="T53" s="2"/>
      <c r="U53" s="1"/>
      <c r="V53" s="1"/>
      <c r="W53" s="1"/>
      <c r="X53" s="1"/>
      <c r="Y53" s="5"/>
      <c r="Z53" s="5"/>
      <c r="AA53" s="5"/>
      <c r="AB53" s="1"/>
      <c r="AC53" s="1"/>
      <c r="AD53" s="1"/>
      <c r="AE53" s="1"/>
      <c r="AF53" s="1"/>
      <c r="AG53" s="1"/>
      <c r="AH53" s="1"/>
      <c r="AI53" s="1"/>
      <c r="AJ53" s="1"/>
      <c r="AK53" s="1"/>
      <c r="AL53" s="1"/>
      <c r="AM53" s="1"/>
      <c r="AN53" s="1"/>
      <c r="AO53" s="1"/>
      <c r="AP53" s="1"/>
      <c r="AQ53" s="1"/>
      <c r="AR53" s="1"/>
      <c r="AS53" s="1"/>
      <c r="AT53" s="1"/>
      <c r="AU53" s="1"/>
      <c r="AV53" s="1"/>
      <c r="AW53" s="1"/>
      <c r="AX53" s="1"/>
    </row>
    <row r="54" spans="1:50" ht="18" customHeight="1" x14ac:dyDescent="0.3">
      <c r="A54" s="1"/>
      <c r="B54" s="1"/>
      <c r="C54" s="1"/>
      <c r="D54" s="1"/>
      <c r="E54" s="1"/>
      <c r="F54" s="1"/>
      <c r="G54" s="1"/>
      <c r="H54" s="1"/>
      <c r="I54" s="1"/>
      <c r="J54" s="1"/>
      <c r="K54" s="1"/>
      <c r="L54" s="1"/>
      <c r="M54" s="1"/>
      <c r="N54" s="1"/>
      <c r="O54" s="1"/>
      <c r="P54" s="1"/>
      <c r="Q54" s="1"/>
      <c r="R54" s="2"/>
      <c r="S54" s="2"/>
      <c r="T54" s="2"/>
      <c r="U54" s="1"/>
      <c r="V54" s="1"/>
      <c r="W54" s="1"/>
      <c r="X54" s="1"/>
      <c r="Y54" s="5"/>
      <c r="Z54" s="5"/>
      <c r="AA54" s="5"/>
      <c r="AB54" s="1"/>
      <c r="AC54" s="1"/>
      <c r="AD54" s="1"/>
      <c r="AE54" s="1"/>
      <c r="AF54" s="1"/>
      <c r="AG54" s="1"/>
      <c r="AH54" s="1"/>
      <c r="AI54" s="1"/>
      <c r="AJ54" s="1"/>
      <c r="AK54" s="1"/>
      <c r="AL54" s="1"/>
      <c r="AM54" s="1"/>
      <c r="AN54" s="1"/>
      <c r="AO54" s="1"/>
      <c r="AP54" s="1"/>
      <c r="AQ54" s="1"/>
      <c r="AR54" s="1"/>
      <c r="AS54" s="1"/>
      <c r="AT54" s="1"/>
      <c r="AU54" s="1"/>
      <c r="AV54" s="1"/>
      <c r="AW54" s="1"/>
      <c r="AX54" s="1"/>
    </row>
    <row r="55" spans="1:50" ht="18" customHeight="1" x14ac:dyDescent="0.3">
      <c r="A55" s="1"/>
      <c r="B55" s="1"/>
      <c r="C55" s="1"/>
      <c r="D55" s="1"/>
      <c r="E55" s="1"/>
      <c r="F55" s="1"/>
      <c r="G55" s="1"/>
      <c r="H55" s="1"/>
      <c r="I55" s="1"/>
      <c r="J55" s="1"/>
      <c r="K55" s="1"/>
      <c r="L55" s="1"/>
      <c r="M55" s="1"/>
      <c r="N55" s="1"/>
      <c r="O55" s="1"/>
      <c r="P55" s="1"/>
      <c r="Q55" s="1"/>
      <c r="R55" s="2"/>
      <c r="S55" s="2"/>
      <c r="T55" s="2"/>
      <c r="U55" s="1"/>
      <c r="V55" s="1"/>
      <c r="W55" s="1"/>
      <c r="X55" s="1"/>
      <c r="Y55" s="5"/>
      <c r="Z55" s="5"/>
      <c r="AA55" s="5"/>
      <c r="AB55" s="1"/>
      <c r="AC55" s="1"/>
      <c r="AD55" s="1"/>
      <c r="AE55" s="1"/>
      <c r="AF55" s="1"/>
      <c r="AG55" s="1"/>
      <c r="AH55" s="1"/>
      <c r="AI55" s="1"/>
      <c r="AJ55" s="1"/>
      <c r="AK55" s="1"/>
      <c r="AL55" s="1"/>
      <c r="AM55" s="1"/>
      <c r="AN55" s="1"/>
      <c r="AO55" s="1"/>
      <c r="AP55" s="1"/>
      <c r="AQ55" s="1"/>
      <c r="AR55" s="1"/>
      <c r="AS55" s="1"/>
      <c r="AT55" s="1"/>
      <c r="AU55" s="1"/>
      <c r="AV55" s="1"/>
      <c r="AW55" s="1"/>
      <c r="AX55" s="1"/>
    </row>
    <row r="56" spans="1:50" ht="18" customHeight="1" x14ac:dyDescent="0.3">
      <c r="A56" s="1"/>
      <c r="B56" s="1"/>
      <c r="C56" s="1"/>
      <c r="D56" s="1"/>
      <c r="E56" s="1"/>
      <c r="F56" s="1"/>
      <c r="G56" s="1"/>
      <c r="H56" s="1"/>
      <c r="I56" s="1"/>
      <c r="J56" s="1"/>
      <c r="K56" s="1"/>
      <c r="L56" s="1"/>
      <c r="M56" s="1"/>
      <c r="N56" s="1"/>
      <c r="O56" s="1"/>
      <c r="P56" s="1"/>
      <c r="Q56" s="1"/>
      <c r="R56" s="2"/>
      <c r="S56" s="2"/>
      <c r="T56" s="2"/>
      <c r="U56" s="1"/>
      <c r="V56" s="1"/>
      <c r="W56" s="1"/>
      <c r="X56" s="1"/>
      <c r="Y56" s="5"/>
      <c r="Z56" s="5"/>
      <c r="AA56" s="5"/>
      <c r="AB56" s="1"/>
      <c r="AC56" s="1"/>
      <c r="AD56" s="1"/>
      <c r="AE56" s="1"/>
      <c r="AF56" s="1"/>
      <c r="AG56" s="1"/>
      <c r="AH56" s="1"/>
      <c r="AI56" s="1"/>
      <c r="AJ56" s="1"/>
      <c r="AK56" s="1"/>
      <c r="AL56" s="1"/>
      <c r="AM56" s="1"/>
      <c r="AN56" s="1"/>
      <c r="AO56" s="1"/>
      <c r="AP56" s="1"/>
      <c r="AQ56" s="1"/>
      <c r="AR56" s="1"/>
      <c r="AS56" s="1"/>
      <c r="AT56" s="1"/>
      <c r="AU56" s="1"/>
      <c r="AV56" s="1"/>
      <c r="AW56" s="1"/>
      <c r="AX56" s="1"/>
    </row>
    <row r="57" spans="1:50" ht="18" customHeight="1" x14ac:dyDescent="0.3">
      <c r="A57" s="1"/>
      <c r="B57" s="1"/>
      <c r="C57" s="1"/>
      <c r="D57" s="1"/>
      <c r="E57" s="1"/>
      <c r="F57" s="1"/>
      <c r="G57" s="1"/>
      <c r="H57" s="1"/>
      <c r="I57" s="1"/>
      <c r="J57" s="1"/>
      <c r="K57" s="1"/>
      <c r="L57" s="1"/>
      <c r="M57" s="1"/>
      <c r="N57" s="1"/>
      <c r="O57" s="1"/>
      <c r="P57" s="1"/>
      <c r="Q57" s="1"/>
      <c r="R57" s="2"/>
      <c r="S57" s="2"/>
      <c r="T57" s="2"/>
      <c r="U57" s="1"/>
      <c r="V57" s="1"/>
      <c r="W57" s="1"/>
      <c r="X57" s="1"/>
      <c r="Y57" s="5"/>
      <c r="Z57" s="5"/>
      <c r="AA57" s="5"/>
      <c r="AB57" s="1"/>
      <c r="AC57" s="1"/>
      <c r="AD57" s="1"/>
      <c r="AE57" s="1"/>
      <c r="AF57" s="1"/>
      <c r="AG57" s="1"/>
      <c r="AH57" s="1"/>
      <c r="AI57" s="1"/>
      <c r="AJ57" s="1"/>
      <c r="AK57" s="1"/>
      <c r="AL57" s="1"/>
      <c r="AM57" s="1"/>
      <c r="AN57" s="1"/>
      <c r="AO57" s="1"/>
      <c r="AP57" s="1"/>
      <c r="AQ57" s="1"/>
      <c r="AR57" s="1"/>
      <c r="AS57" s="1"/>
      <c r="AT57" s="1"/>
      <c r="AU57" s="1"/>
      <c r="AV57" s="1"/>
      <c r="AW57" s="1"/>
      <c r="AX57" s="1"/>
    </row>
    <row r="58" spans="1:50" ht="18" customHeight="1" x14ac:dyDescent="0.3">
      <c r="A58" s="1"/>
      <c r="B58" s="1"/>
      <c r="C58" s="1"/>
      <c r="D58" s="1"/>
      <c r="E58" s="1"/>
      <c r="F58" s="1"/>
      <c r="G58" s="1"/>
      <c r="H58" s="1"/>
      <c r="I58" s="1"/>
      <c r="J58" s="1"/>
      <c r="K58" s="1"/>
      <c r="L58" s="1"/>
      <c r="M58" s="1"/>
      <c r="N58" s="1"/>
      <c r="O58" s="1"/>
      <c r="P58" s="1"/>
      <c r="Q58" s="1"/>
      <c r="R58" s="2"/>
      <c r="S58" s="2"/>
      <c r="T58" s="2"/>
      <c r="U58" s="1"/>
      <c r="V58" s="1"/>
      <c r="W58" s="1"/>
      <c r="X58" s="1"/>
      <c r="Y58" s="5"/>
      <c r="Z58" s="5"/>
      <c r="AA58" s="5"/>
      <c r="AB58" s="1"/>
      <c r="AC58" s="1"/>
      <c r="AD58" s="1"/>
      <c r="AE58" s="1"/>
      <c r="AF58" s="1"/>
      <c r="AG58" s="1"/>
      <c r="AH58" s="1"/>
      <c r="AI58" s="1"/>
      <c r="AJ58" s="1"/>
      <c r="AK58" s="1"/>
      <c r="AL58" s="1"/>
      <c r="AM58" s="1"/>
      <c r="AN58" s="1"/>
      <c r="AO58" s="1"/>
      <c r="AP58" s="1"/>
      <c r="AQ58" s="1"/>
      <c r="AR58" s="1"/>
      <c r="AS58" s="1"/>
      <c r="AT58" s="1"/>
      <c r="AU58" s="1"/>
      <c r="AV58" s="1"/>
      <c r="AW58" s="1"/>
      <c r="AX58" s="1"/>
    </row>
    <row r="59" spans="1:50" ht="18" customHeight="1" x14ac:dyDescent="0.3">
      <c r="A59" s="1"/>
      <c r="B59" s="1"/>
      <c r="C59" s="1"/>
      <c r="D59" s="1"/>
      <c r="E59" s="1"/>
      <c r="F59" s="1"/>
      <c r="G59" s="1"/>
      <c r="H59" s="1"/>
      <c r="I59" s="1"/>
      <c r="J59" s="1"/>
      <c r="K59" s="1"/>
      <c r="L59" s="1"/>
      <c r="M59" s="1"/>
      <c r="N59" s="1"/>
      <c r="O59" s="1"/>
      <c r="P59" s="1"/>
      <c r="Q59" s="1"/>
      <c r="R59" s="2"/>
      <c r="S59" s="2"/>
      <c r="T59" s="2"/>
      <c r="U59" s="1"/>
      <c r="V59" s="1"/>
      <c r="W59" s="1"/>
      <c r="X59" s="1"/>
      <c r="Y59" s="5"/>
      <c r="Z59" s="5"/>
      <c r="AA59" s="5"/>
      <c r="AB59" s="1"/>
      <c r="AC59" s="1"/>
      <c r="AD59" s="1"/>
      <c r="AE59" s="1"/>
      <c r="AF59" s="1"/>
      <c r="AG59" s="1"/>
      <c r="AH59" s="1"/>
      <c r="AI59" s="1"/>
      <c r="AJ59" s="1"/>
      <c r="AK59" s="1"/>
      <c r="AL59" s="1"/>
      <c r="AM59" s="1"/>
      <c r="AN59" s="1"/>
      <c r="AO59" s="1"/>
      <c r="AP59" s="1"/>
      <c r="AQ59" s="1"/>
      <c r="AR59" s="1"/>
      <c r="AS59" s="1"/>
      <c r="AT59" s="1"/>
      <c r="AU59" s="1"/>
      <c r="AV59" s="1"/>
      <c r="AW59" s="1"/>
      <c r="AX59" s="1"/>
    </row>
    <row r="60" spans="1:50" ht="18" customHeight="1" collapsed="1" x14ac:dyDescent="0.3">
      <c r="A60" s="1"/>
      <c r="B60" s="1"/>
      <c r="C60" s="1"/>
      <c r="D60" s="1"/>
      <c r="E60" s="1"/>
      <c r="F60" s="1"/>
      <c r="G60" s="1"/>
      <c r="H60" s="1"/>
      <c r="I60" s="1"/>
      <c r="J60" s="1"/>
      <c r="K60" s="1"/>
      <c r="L60" s="1"/>
      <c r="M60" s="1"/>
      <c r="N60" s="1"/>
      <c r="O60" s="1"/>
      <c r="P60" s="1"/>
      <c r="Q60" s="1"/>
      <c r="R60" s="2"/>
      <c r="S60" s="2"/>
      <c r="T60" s="2"/>
      <c r="U60" s="1"/>
      <c r="V60" s="1"/>
      <c r="W60" s="1"/>
      <c r="X60" s="1"/>
      <c r="Y60" s="5"/>
      <c r="Z60" s="5"/>
      <c r="AA60" s="5"/>
      <c r="AB60" s="1"/>
      <c r="AC60" s="1"/>
      <c r="AD60" s="1"/>
      <c r="AE60" s="1"/>
      <c r="AF60" s="1"/>
      <c r="AG60" s="1"/>
      <c r="AH60" s="1"/>
      <c r="AI60" s="1"/>
      <c r="AJ60" s="1"/>
      <c r="AK60" s="1"/>
      <c r="AL60" s="1"/>
      <c r="AM60" s="1"/>
      <c r="AN60" s="1"/>
      <c r="AO60" s="1"/>
      <c r="AP60" s="1"/>
      <c r="AQ60" s="1"/>
      <c r="AR60" s="1"/>
      <c r="AS60" s="1"/>
      <c r="AT60" s="1"/>
      <c r="AU60" s="1"/>
      <c r="AV60" s="1"/>
      <c r="AW60" s="1"/>
      <c r="AX60" s="1"/>
    </row>
    <row r="61" spans="1:50" ht="18" customHeight="1" x14ac:dyDescent="0.3">
      <c r="A61" s="1"/>
      <c r="B61" s="1"/>
      <c r="C61" s="1"/>
      <c r="D61" s="1"/>
      <c r="E61" s="1"/>
      <c r="F61" s="1"/>
      <c r="G61" s="1"/>
      <c r="H61" s="1"/>
      <c r="I61" s="1"/>
      <c r="J61" s="1"/>
      <c r="K61" s="1"/>
      <c r="L61" s="1"/>
      <c r="M61" s="1"/>
      <c r="N61" s="1"/>
      <c r="O61" s="1"/>
      <c r="P61" s="1"/>
      <c r="Q61" s="1"/>
      <c r="R61" s="2"/>
      <c r="S61" s="2"/>
      <c r="T61" s="2"/>
      <c r="U61" s="1"/>
      <c r="V61" s="1"/>
      <c r="W61" s="1"/>
      <c r="X61" s="1"/>
      <c r="Y61" s="5"/>
      <c r="Z61" s="5"/>
      <c r="AA61" s="5"/>
      <c r="AB61" s="1"/>
      <c r="AC61" s="1"/>
      <c r="AD61" s="1"/>
      <c r="AE61" s="1"/>
      <c r="AF61" s="1"/>
      <c r="AG61" s="1"/>
      <c r="AH61" s="1"/>
      <c r="AI61" s="1"/>
      <c r="AJ61" s="1"/>
      <c r="AK61" s="1"/>
      <c r="AL61" s="1"/>
      <c r="AM61" s="1"/>
      <c r="AN61" s="1"/>
      <c r="AO61" s="1"/>
      <c r="AP61" s="1"/>
      <c r="AQ61" s="1"/>
      <c r="AR61" s="1"/>
      <c r="AS61" s="1"/>
      <c r="AT61" s="1"/>
      <c r="AU61" s="1"/>
      <c r="AV61" s="1"/>
      <c r="AW61" s="1"/>
      <c r="AX61" s="1"/>
    </row>
    <row r="62" spans="1:50" ht="18" customHeight="1" x14ac:dyDescent="0.3">
      <c r="A62" s="1"/>
      <c r="B62" s="1"/>
      <c r="C62" s="1"/>
      <c r="D62" s="1"/>
      <c r="E62" s="1"/>
      <c r="F62" s="1"/>
      <c r="G62" s="1"/>
      <c r="H62" s="1"/>
      <c r="I62" s="1"/>
      <c r="J62" s="1"/>
      <c r="K62" s="1"/>
      <c r="L62" s="1"/>
      <c r="M62" s="1"/>
      <c r="N62" s="1"/>
      <c r="O62" s="1"/>
      <c r="P62" s="1"/>
      <c r="Q62" s="1"/>
      <c r="R62" s="2"/>
      <c r="S62" s="2"/>
      <c r="T62" s="2"/>
      <c r="U62" s="1"/>
      <c r="V62" s="1"/>
      <c r="W62" s="1"/>
      <c r="X62" s="1"/>
      <c r="Y62" s="5"/>
      <c r="Z62" s="5"/>
      <c r="AA62" s="5"/>
      <c r="AB62" s="1"/>
      <c r="AC62" s="1"/>
      <c r="AD62" s="1"/>
      <c r="AE62" s="1"/>
      <c r="AF62" s="1"/>
      <c r="AG62" s="1"/>
      <c r="AH62" s="1"/>
      <c r="AI62" s="1"/>
      <c r="AJ62" s="1"/>
      <c r="AK62" s="1"/>
      <c r="AL62" s="1"/>
      <c r="AM62" s="1"/>
      <c r="AN62" s="1"/>
      <c r="AO62" s="1"/>
      <c r="AP62" s="1"/>
      <c r="AQ62" s="1"/>
      <c r="AR62" s="1"/>
      <c r="AS62" s="1"/>
      <c r="AT62" s="1"/>
      <c r="AU62" s="1"/>
      <c r="AV62" s="1"/>
      <c r="AW62" s="1"/>
      <c r="AX62" s="1"/>
    </row>
    <row r="63" spans="1:50" ht="18" customHeight="1" x14ac:dyDescent="0.3">
      <c r="A63" s="1"/>
      <c r="B63" s="1"/>
      <c r="C63" s="1"/>
      <c r="D63" s="1"/>
      <c r="E63" s="1"/>
      <c r="F63" s="1"/>
      <c r="G63" s="1"/>
      <c r="H63" s="1"/>
      <c r="I63" s="1"/>
      <c r="J63" s="1"/>
      <c r="K63" s="1"/>
      <c r="L63" s="1"/>
      <c r="M63" s="1"/>
      <c r="N63" s="1"/>
      <c r="O63" s="1"/>
      <c r="P63" s="1"/>
      <c r="Q63" s="1"/>
      <c r="R63" s="2"/>
      <c r="S63" s="2"/>
      <c r="T63" s="2"/>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row>
    <row r="64" spans="1:50" ht="18" customHeight="1" x14ac:dyDescent="0.3">
      <c r="A64" s="1"/>
      <c r="B64" s="1"/>
      <c r="C64" s="1"/>
      <c r="D64" s="1"/>
      <c r="E64" s="1"/>
      <c r="F64" s="1"/>
      <c r="G64" s="1"/>
      <c r="H64" s="1"/>
      <c r="I64" s="1"/>
      <c r="J64" s="1"/>
      <c r="K64" s="1"/>
      <c r="L64" s="1"/>
      <c r="M64" s="1"/>
      <c r="N64" s="1"/>
      <c r="O64" s="1"/>
      <c r="P64" s="1"/>
      <c r="Q64" s="1"/>
      <c r="R64" s="2"/>
      <c r="S64" s="2"/>
      <c r="T64" s="2"/>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row>
    <row r="65" spans="1:50" ht="18" customHeight="1" collapsed="1" x14ac:dyDescent="0.3">
      <c r="A65" s="1"/>
      <c r="B65" s="1"/>
      <c r="C65" s="1"/>
      <c r="D65" s="1"/>
      <c r="E65" s="1"/>
      <c r="F65" s="1"/>
      <c r="G65" s="1"/>
      <c r="H65" s="1"/>
      <c r="I65" s="1"/>
      <c r="J65" s="1"/>
      <c r="K65" s="1"/>
      <c r="L65" s="1"/>
      <c r="M65" s="1"/>
      <c r="N65" s="1"/>
      <c r="O65" s="1"/>
      <c r="P65" s="1"/>
      <c r="Q65" s="1"/>
      <c r="R65" s="2"/>
      <c r="S65" s="2"/>
      <c r="T65" s="2"/>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row>
    <row r="66" spans="1:50" ht="18" customHeight="1" x14ac:dyDescent="0.3">
      <c r="A66" s="1"/>
      <c r="B66" s="1"/>
      <c r="C66" s="1"/>
      <c r="D66" s="1"/>
      <c r="E66" s="1"/>
      <c r="F66" s="1"/>
      <c r="G66" s="1"/>
      <c r="H66" s="1"/>
      <c r="I66" s="1"/>
      <c r="J66" s="1"/>
      <c r="K66" s="1"/>
      <c r="L66" s="1"/>
      <c r="M66" s="1"/>
      <c r="N66" s="1"/>
      <c r="O66" s="1"/>
      <c r="P66" s="1"/>
      <c r="Q66" s="1"/>
      <c r="R66" s="2"/>
      <c r="S66" s="2"/>
      <c r="T66" s="2"/>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spans="1:50" ht="18" customHeight="1" x14ac:dyDescent="0.3">
      <c r="A67" s="1"/>
      <c r="B67" s="1"/>
      <c r="C67" s="1"/>
      <c r="D67" s="1"/>
      <c r="E67" s="1"/>
      <c r="F67" s="1"/>
      <c r="G67" s="1"/>
      <c r="H67" s="1"/>
      <c r="I67" s="1"/>
      <c r="J67" s="1"/>
      <c r="K67" s="1"/>
      <c r="L67" s="1"/>
      <c r="M67" s="1"/>
      <c r="N67" s="1"/>
      <c r="O67" s="1"/>
      <c r="P67" s="1"/>
      <c r="Q67" s="1"/>
      <c r="R67" s="2"/>
      <c r="S67" s="2"/>
      <c r="T67" s="2"/>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row>
    <row r="68" spans="1:50" ht="18" customHeight="1" x14ac:dyDescent="0.3">
      <c r="A68" s="1"/>
      <c r="B68" s="1"/>
      <c r="C68" s="1"/>
      <c r="D68" s="1"/>
      <c r="E68" s="1"/>
      <c r="F68" s="1"/>
      <c r="G68" s="1"/>
      <c r="H68" s="1"/>
      <c r="I68" s="1"/>
      <c r="J68" s="1"/>
      <c r="K68" s="1"/>
      <c r="L68" s="1"/>
      <c r="M68" s="1"/>
      <c r="N68" s="1"/>
      <c r="O68" s="1"/>
      <c r="P68" s="1"/>
      <c r="Q68" s="1"/>
      <c r="R68" s="2"/>
      <c r="S68" s="2"/>
      <c r="T68" s="2"/>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row>
    <row r="69" spans="1:50" ht="18" customHeight="1" x14ac:dyDescent="0.3">
      <c r="A69" s="1"/>
      <c r="B69" s="1"/>
      <c r="C69" s="1"/>
      <c r="D69" s="1"/>
      <c r="E69" s="1"/>
      <c r="F69" s="1"/>
      <c r="G69" s="1"/>
      <c r="H69" s="1"/>
      <c r="I69" s="1"/>
      <c r="J69" s="1"/>
      <c r="K69" s="1"/>
      <c r="L69" s="1"/>
      <c r="M69" s="1"/>
      <c r="N69" s="1"/>
      <c r="O69" s="1"/>
      <c r="P69" s="1"/>
      <c r="Q69" s="1"/>
      <c r="R69" s="2"/>
      <c r="S69" s="2"/>
      <c r="T69" s="2"/>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row>
    <row r="70" spans="1:50" ht="18" customHeight="1" x14ac:dyDescent="0.3">
      <c r="A70" s="1"/>
      <c r="B70" s="21"/>
      <c r="C70" s="1"/>
      <c r="D70" s="1"/>
      <c r="E70" s="1"/>
      <c r="F70" s="1"/>
      <c r="G70" s="1"/>
      <c r="H70" s="1"/>
      <c r="I70" s="1"/>
      <c r="J70" s="1"/>
      <c r="K70" s="1"/>
      <c r="L70" s="1"/>
      <c r="M70" s="1"/>
      <c r="N70" s="1"/>
      <c r="O70" s="1"/>
      <c r="P70" s="1"/>
      <c r="Q70" s="1"/>
      <c r="R70" s="2"/>
      <c r="S70" s="2"/>
      <c r="T70" s="2"/>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row>
    <row r="71" spans="1:50" ht="18" customHeight="1" x14ac:dyDescent="0.3">
      <c r="A71" s="1"/>
      <c r="B71" s="21"/>
      <c r="C71" s="11"/>
      <c r="D71" s="11"/>
      <c r="E71" s="11"/>
      <c r="F71" s="11"/>
      <c r="G71" s="11"/>
      <c r="H71" s="11"/>
      <c r="I71" s="11"/>
      <c r="J71" s="11"/>
      <c r="K71" s="11"/>
      <c r="L71" s="11"/>
      <c r="M71" s="11"/>
      <c r="N71" s="11"/>
      <c r="O71" s="11"/>
      <c r="P71" s="11"/>
      <c r="Q71" s="11"/>
      <c r="R71" s="2"/>
      <c r="S71" s="2"/>
      <c r="T71" s="2"/>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row>
    <row r="72" spans="1:50" ht="18" customHeight="1" collapsed="1" x14ac:dyDescent="0.3">
      <c r="A72" s="1"/>
      <c r="B72" s="21"/>
      <c r="C72" s="11"/>
      <c r="D72" s="11"/>
      <c r="E72" s="11"/>
      <c r="F72" s="11"/>
      <c r="G72" s="11"/>
      <c r="H72" s="11"/>
      <c r="I72" s="11"/>
      <c r="J72" s="11"/>
      <c r="K72" s="11"/>
      <c r="L72" s="11"/>
      <c r="M72" s="11"/>
      <c r="N72" s="11"/>
      <c r="O72" s="11"/>
      <c r="P72" s="11"/>
      <c r="Q72" s="11"/>
      <c r="R72" s="2"/>
      <c r="S72" s="2"/>
      <c r="T72" s="2"/>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row>
    <row r="73" spans="1:50" ht="18" customHeight="1" x14ac:dyDescent="0.3">
      <c r="A73" s="1"/>
      <c r="B73" s="21"/>
      <c r="C73" s="11"/>
      <c r="D73" s="11"/>
      <c r="E73" s="11"/>
      <c r="F73" s="11"/>
      <c r="G73" s="11"/>
      <c r="H73" s="11"/>
      <c r="I73" s="11"/>
      <c r="J73" s="11"/>
      <c r="K73" s="11"/>
      <c r="L73" s="11"/>
      <c r="M73" s="11"/>
      <c r="N73" s="11"/>
      <c r="O73" s="11"/>
      <c r="P73" s="11"/>
      <c r="Q73" s="11"/>
      <c r="R73" s="2"/>
      <c r="S73" s="2"/>
      <c r="T73" s="2"/>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row>
    <row r="74" spans="1:50" ht="18" customHeight="1" x14ac:dyDescent="0.3">
      <c r="A74" s="1"/>
      <c r="B74" s="21"/>
      <c r="C74" s="11"/>
      <c r="D74" s="11"/>
      <c r="E74" s="11"/>
      <c r="F74" s="11"/>
      <c r="G74" s="11"/>
      <c r="H74" s="11"/>
      <c r="I74" s="11"/>
      <c r="J74" s="11"/>
      <c r="K74" s="11"/>
      <c r="L74" s="11"/>
      <c r="M74" s="11"/>
      <c r="N74" s="11"/>
      <c r="O74" s="11"/>
      <c r="P74" s="11"/>
      <c r="Q74" s="11"/>
      <c r="R74" s="2"/>
      <c r="S74" s="2"/>
      <c r="T74" s="2"/>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row>
    <row r="75" spans="1:50" ht="18" customHeight="1" collapsed="1" x14ac:dyDescent="0.3">
      <c r="A75" s="1"/>
      <c r="B75" s="21"/>
      <c r="C75" s="11"/>
      <c r="D75" s="11"/>
      <c r="E75" s="11"/>
      <c r="F75" s="11"/>
      <c r="G75" s="11"/>
      <c r="H75" s="11"/>
      <c r="I75" s="11"/>
      <c r="J75" s="11"/>
      <c r="K75" s="11"/>
      <c r="L75" s="11"/>
      <c r="M75" s="11"/>
      <c r="N75" s="11"/>
      <c r="O75" s="11"/>
      <c r="P75" s="11"/>
      <c r="Q75" s="11"/>
      <c r="R75" s="2"/>
      <c r="S75" s="2"/>
      <c r="T75" s="2"/>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row>
    <row r="76" spans="1:50" ht="18" customHeight="1" x14ac:dyDescent="0.3">
      <c r="A76" s="1"/>
      <c r="B76" s="21"/>
      <c r="C76" s="11"/>
      <c r="D76" s="11"/>
      <c r="E76" s="11"/>
      <c r="F76" s="11"/>
      <c r="G76" s="11"/>
      <c r="H76" s="11"/>
      <c r="I76" s="11"/>
      <c r="J76" s="11"/>
      <c r="K76" s="11"/>
      <c r="L76" s="11"/>
      <c r="M76" s="11"/>
      <c r="N76" s="11"/>
      <c r="O76" s="11"/>
      <c r="P76" s="11"/>
      <c r="Q76" s="11"/>
      <c r="R76" s="2"/>
      <c r="S76" s="2"/>
      <c r="T76" s="2"/>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spans="1:50" ht="18" customHeight="1" x14ac:dyDescent="0.3">
      <c r="A77" s="1"/>
      <c r="B77" s="21"/>
      <c r="C77" s="11"/>
      <c r="D77" s="11"/>
      <c r="E77" s="11"/>
      <c r="F77" s="11"/>
      <c r="G77" s="11"/>
      <c r="H77" s="11"/>
      <c r="I77" s="11"/>
      <c r="J77" s="11"/>
      <c r="K77" s="11"/>
      <c r="L77" s="11"/>
      <c r="M77" s="11"/>
      <c r="N77" s="11"/>
      <c r="O77" s="11"/>
      <c r="P77" s="11"/>
      <c r="Q77" s="11"/>
      <c r="R77" s="2"/>
      <c r="S77" s="2"/>
      <c r="T77" s="2"/>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row>
    <row r="78" spans="1:50" ht="18" customHeight="1" x14ac:dyDescent="0.3">
      <c r="A78" s="1"/>
      <c r="B78" s="21"/>
      <c r="C78" s="11"/>
      <c r="D78" s="11"/>
      <c r="E78" s="11"/>
      <c r="F78" s="11"/>
      <c r="G78" s="11"/>
      <c r="H78" s="11"/>
      <c r="I78" s="11"/>
      <c r="J78" s="11"/>
      <c r="K78" s="11"/>
      <c r="L78" s="11"/>
      <c r="M78" s="11"/>
      <c r="N78" s="11"/>
      <c r="O78" s="11"/>
      <c r="P78" s="11"/>
      <c r="Q78" s="11"/>
      <c r="R78" s="2"/>
      <c r="S78" s="2"/>
      <c r="T78" s="2"/>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spans="1:50" ht="18" customHeight="1" x14ac:dyDescent="0.3">
      <c r="A79" s="1"/>
      <c r="B79" s="21"/>
      <c r="C79" s="11"/>
      <c r="D79" s="11"/>
      <c r="E79" s="11"/>
      <c r="F79" s="11"/>
      <c r="G79" s="11"/>
      <c r="H79" s="11"/>
      <c r="I79" s="11"/>
      <c r="J79" s="11"/>
      <c r="K79" s="11"/>
      <c r="L79" s="11"/>
      <c r="M79" s="11"/>
      <c r="N79" s="11"/>
      <c r="O79" s="11"/>
      <c r="P79" s="11"/>
      <c r="Q79" s="11"/>
      <c r="R79" s="2"/>
      <c r="S79" s="2"/>
      <c r="T79" s="2"/>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spans="1:50" ht="18" customHeight="1" x14ac:dyDescent="0.3">
      <c r="A80" s="1"/>
      <c r="B80" s="21"/>
      <c r="C80" s="11"/>
      <c r="D80" s="11"/>
      <c r="E80" s="11"/>
      <c r="F80" s="11"/>
      <c r="G80" s="11"/>
      <c r="H80" s="11"/>
      <c r="I80" s="11"/>
      <c r="J80" s="11"/>
      <c r="K80" s="11"/>
      <c r="L80" s="11"/>
      <c r="M80" s="11"/>
      <c r="N80" s="11"/>
      <c r="O80" s="11"/>
      <c r="P80" s="11"/>
      <c r="Q80" s="11"/>
      <c r="R80" s="2"/>
      <c r="S80" s="2"/>
      <c r="T80" s="2"/>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spans="1:50" ht="18" customHeight="1" collapsed="1" x14ac:dyDescent="0.3">
      <c r="A81" s="1"/>
      <c r="B81" s="21"/>
      <c r="C81" s="11"/>
      <c r="D81" s="11"/>
      <c r="E81" s="11"/>
      <c r="F81" s="11"/>
      <c r="G81" s="11"/>
      <c r="H81" s="11"/>
      <c r="I81" s="11"/>
      <c r="J81" s="11"/>
      <c r="K81" s="11"/>
      <c r="L81" s="11"/>
      <c r="M81" s="11"/>
      <c r="N81" s="11"/>
      <c r="O81" s="11"/>
      <c r="P81" s="11"/>
      <c r="Q81" s="11"/>
      <c r="R81" s="2"/>
      <c r="S81" s="2"/>
      <c r="T81" s="2"/>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spans="1:50" ht="18" customHeight="1" x14ac:dyDescent="0.3">
      <c r="A82" s="1"/>
      <c r="B82" s="21"/>
      <c r="C82" s="11"/>
      <c r="D82" s="11"/>
      <c r="E82" s="11"/>
      <c r="F82" s="11"/>
      <c r="G82" s="11"/>
      <c r="H82" s="11"/>
      <c r="I82" s="11"/>
      <c r="J82" s="11"/>
      <c r="K82" s="11"/>
      <c r="L82" s="11"/>
      <c r="M82" s="11"/>
      <c r="N82" s="11"/>
      <c r="O82" s="11"/>
      <c r="P82" s="11"/>
      <c r="Q82" s="11"/>
      <c r="R82" s="2"/>
      <c r="S82" s="2"/>
      <c r="T82" s="2"/>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spans="1:50" ht="18" customHeight="1" x14ac:dyDescent="0.3">
      <c r="A83" s="1"/>
      <c r="B83" s="21"/>
      <c r="C83" s="11"/>
      <c r="D83" s="11"/>
      <c r="E83" s="11"/>
      <c r="F83" s="11"/>
      <c r="G83" s="11"/>
      <c r="H83" s="11"/>
      <c r="I83" s="11"/>
      <c r="J83" s="11"/>
      <c r="K83" s="11"/>
      <c r="L83" s="11"/>
      <c r="M83" s="11"/>
      <c r="N83" s="11"/>
      <c r="O83" s="11"/>
      <c r="P83" s="11"/>
      <c r="Q83" s="11"/>
      <c r="R83" s="2"/>
      <c r="S83" s="2"/>
      <c r="T83" s="2"/>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spans="1:50" ht="18" customHeight="1" x14ac:dyDescent="0.3">
      <c r="A84" s="1"/>
      <c r="B84" s="21"/>
      <c r="C84" s="11"/>
      <c r="D84" s="11"/>
      <c r="E84" s="11"/>
      <c r="F84" s="11"/>
      <c r="G84" s="11"/>
      <c r="H84" s="11"/>
      <c r="I84" s="11"/>
      <c r="J84" s="11"/>
      <c r="K84" s="11"/>
      <c r="L84" s="11"/>
      <c r="M84" s="11"/>
      <c r="N84" s="11"/>
      <c r="O84" s="11"/>
      <c r="P84" s="11"/>
      <c r="Q84" s="11"/>
      <c r="R84" s="2"/>
      <c r="S84" s="2"/>
      <c r="T84" s="2"/>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spans="1:50" ht="18" customHeight="1" x14ac:dyDescent="0.3">
      <c r="A85" s="1"/>
      <c r="B85" s="21"/>
      <c r="C85" s="11"/>
      <c r="D85" s="11"/>
      <c r="E85" s="11"/>
      <c r="F85" s="11"/>
      <c r="G85" s="11"/>
      <c r="H85" s="11"/>
      <c r="I85" s="11"/>
      <c r="J85" s="11"/>
      <c r="K85" s="11"/>
      <c r="L85" s="11"/>
      <c r="M85" s="11"/>
      <c r="N85" s="11"/>
      <c r="O85" s="11"/>
      <c r="P85" s="11"/>
      <c r="Q85" s="11"/>
      <c r="R85" s="2"/>
      <c r="S85" s="2"/>
      <c r="T85" s="2"/>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spans="1:50" ht="18" customHeight="1" collapsed="1" x14ac:dyDescent="0.3">
      <c r="A86" s="1"/>
      <c r="B86" s="21"/>
      <c r="C86" s="11"/>
      <c r="D86" s="11"/>
      <c r="E86" s="11"/>
      <c r="F86" s="11"/>
      <c r="G86" s="11"/>
      <c r="H86" s="11"/>
      <c r="I86" s="11"/>
      <c r="J86" s="11"/>
      <c r="K86" s="11"/>
      <c r="L86" s="11"/>
      <c r="M86" s="11"/>
      <c r="N86" s="11"/>
      <c r="O86" s="11"/>
      <c r="P86" s="11"/>
      <c r="Q86" s="11"/>
      <c r="R86" s="2"/>
      <c r="S86" s="2"/>
      <c r="T86" s="2"/>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spans="1:50" ht="18" customHeight="1" x14ac:dyDescent="0.3">
      <c r="A87" s="1"/>
      <c r="B87" s="21"/>
      <c r="C87" s="11"/>
      <c r="D87" s="11"/>
      <c r="E87" s="11"/>
      <c r="F87" s="11"/>
      <c r="G87" s="11"/>
      <c r="H87" s="11"/>
      <c r="I87" s="11"/>
      <c r="J87" s="11"/>
      <c r="K87" s="11"/>
      <c r="L87" s="11"/>
      <c r="M87" s="11"/>
      <c r="N87" s="11"/>
      <c r="O87" s="11"/>
      <c r="P87" s="11"/>
      <c r="Q87" s="11"/>
      <c r="R87" s="2"/>
      <c r="S87" s="2"/>
      <c r="T87" s="2"/>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spans="1:50" ht="18" customHeight="1" x14ac:dyDescent="0.3">
      <c r="A88" s="1"/>
      <c r="B88" s="21"/>
      <c r="C88" s="11"/>
      <c r="D88" s="11"/>
      <c r="E88" s="11"/>
      <c r="F88" s="11"/>
      <c r="G88" s="11"/>
      <c r="H88" s="11"/>
      <c r="I88" s="11"/>
      <c r="J88" s="11"/>
      <c r="K88" s="11"/>
      <c r="L88" s="11"/>
      <c r="M88" s="11"/>
      <c r="N88" s="11"/>
      <c r="O88" s="11"/>
      <c r="P88" s="11"/>
      <c r="Q88" s="11"/>
      <c r="R88" s="2"/>
      <c r="S88" s="2"/>
      <c r="T88" s="2"/>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spans="1:50" ht="18" customHeight="1" x14ac:dyDescent="0.3">
      <c r="A89" s="1"/>
      <c r="B89" s="21"/>
      <c r="C89" s="11"/>
      <c r="D89" s="11"/>
      <c r="E89" s="11"/>
      <c r="F89" s="11"/>
      <c r="G89" s="11"/>
      <c r="H89" s="11"/>
      <c r="I89" s="11"/>
      <c r="J89" s="11"/>
      <c r="K89" s="11"/>
      <c r="L89" s="11"/>
      <c r="M89" s="11"/>
      <c r="N89" s="11"/>
      <c r="O89" s="11"/>
      <c r="P89" s="11"/>
      <c r="Q89" s="11"/>
      <c r="R89" s="2"/>
      <c r="S89" s="2"/>
      <c r="T89" s="2"/>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spans="1:50" ht="18" customHeight="1" x14ac:dyDescent="0.3">
      <c r="A90" s="1"/>
      <c r="B90" s="21"/>
      <c r="C90" s="11"/>
      <c r="D90" s="11"/>
      <c r="E90" s="11"/>
      <c r="F90" s="11"/>
      <c r="G90" s="11"/>
      <c r="H90" s="11"/>
      <c r="I90" s="11"/>
      <c r="J90" s="11"/>
      <c r="K90" s="11"/>
      <c r="L90" s="11"/>
      <c r="M90" s="11"/>
      <c r="N90" s="11"/>
      <c r="O90" s="11"/>
      <c r="P90" s="11"/>
      <c r="Q90" s="11"/>
      <c r="R90" s="2"/>
      <c r="S90" s="2"/>
      <c r="T90" s="2"/>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spans="1:50" ht="18" customHeight="1" x14ac:dyDescent="0.3">
      <c r="A91" s="1"/>
      <c r="B91" s="21"/>
      <c r="C91" s="11"/>
      <c r="D91" s="11"/>
      <c r="E91" s="11"/>
      <c r="F91" s="11"/>
      <c r="G91" s="11"/>
      <c r="H91" s="11"/>
      <c r="I91" s="11"/>
      <c r="J91" s="11"/>
      <c r="K91" s="11"/>
      <c r="L91" s="11"/>
      <c r="M91" s="11"/>
      <c r="N91" s="11"/>
      <c r="O91" s="11"/>
      <c r="P91" s="11"/>
      <c r="Q91" s="11"/>
      <c r="R91" s="2"/>
      <c r="S91" s="2"/>
      <c r="T91" s="2"/>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spans="1:50" ht="18" customHeight="1" x14ac:dyDescent="0.3">
      <c r="A92" s="1"/>
      <c r="B92" s="21"/>
      <c r="C92" s="11"/>
      <c r="D92" s="11"/>
      <c r="E92" s="11"/>
      <c r="F92" s="11"/>
      <c r="G92" s="11"/>
      <c r="H92" s="11"/>
      <c r="I92" s="11"/>
      <c r="J92" s="11"/>
      <c r="K92" s="11"/>
      <c r="L92" s="11"/>
      <c r="M92" s="11"/>
      <c r="N92" s="11"/>
      <c r="O92" s="11"/>
      <c r="P92" s="11"/>
      <c r="Q92" s="11"/>
      <c r="R92" s="2"/>
      <c r="S92" s="2"/>
      <c r="T92" s="2"/>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spans="1:50" ht="18" customHeight="1" x14ac:dyDescent="0.3">
      <c r="A93" s="1"/>
      <c r="B93" s="21"/>
      <c r="C93" s="11"/>
      <c r="D93" s="11"/>
      <c r="E93" s="11"/>
      <c r="F93" s="11"/>
      <c r="G93" s="11"/>
      <c r="H93" s="11"/>
      <c r="I93" s="11"/>
      <c r="J93" s="11"/>
      <c r="K93" s="11"/>
      <c r="L93" s="11"/>
      <c r="M93" s="11"/>
      <c r="N93" s="11"/>
      <c r="O93" s="11"/>
      <c r="P93" s="11"/>
      <c r="Q93" s="11"/>
      <c r="R93" s="2"/>
      <c r="S93" s="2"/>
      <c r="T93" s="2"/>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spans="1:50" ht="18" customHeight="1" x14ac:dyDescent="0.3">
      <c r="A94" s="1"/>
      <c r="B94" s="21"/>
      <c r="C94" s="11"/>
      <c r="D94" s="11"/>
      <c r="E94" s="11"/>
      <c r="F94" s="11"/>
      <c r="G94" s="11"/>
      <c r="H94" s="11"/>
      <c r="I94" s="11"/>
      <c r="J94" s="11"/>
      <c r="K94" s="11"/>
      <c r="L94" s="11"/>
      <c r="M94" s="11"/>
      <c r="N94" s="11"/>
      <c r="O94" s="11"/>
      <c r="P94" s="11"/>
      <c r="Q94" s="11"/>
      <c r="R94" s="2"/>
      <c r="S94" s="2"/>
      <c r="T94" s="2"/>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spans="1:50" ht="18" customHeight="1" collapsed="1" x14ac:dyDescent="0.3">
      <c r="A95" s="1"/>
      <c r="B95" s="21"/>
      <c r="C95" s="11"/>
      <c r="D95" s="11"/>
      <c r="E95" s="11"/>
      <c r="F95" s="11"/>
      <c r="G95" s="11"/>
      <c r="H95" s="11"/>
      <c r="I95" s="11"/>
      <c r="J95" s="11"/>
      <c r="K95" s="11"/>
      <c r="L95" s="11"/>
      <c r="M95" s="11"/>
      <c r="N95" s="11"/>
      <c r="O95" s="11"/>
      <c r="P95" s="11"/>
      <c r="Q95" s="11"/>
      <c r="R95" s="2"/>
      <c r="S95" s="2"/>
      <c r="T95" s="2"/>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spans="1:50" ht="18" customHeight="1" x14ac:dyDescent="0.3">
      <c r="A96" s="1"/>
      <c r="B96" s="21"/>
      <c r="C96" s="11"/>
      <c r="D96" s="11"/>
      <c r="E96" s="11"/>
      <c r="F96" s="11"/>
      <c r="G96" s="11"/>
      <c r="H96" s="11"/>
      <c r="I96" s="11"/>
      <c r="J96" s="11"/>
      <c r="K96" s="11"/>
      <c r="L96" s="11"/>
      <c r="M96" s="11"/>
      <c r="N96" s="11"/>
      <c r="O96" s="11"/>
      <c r="P96" s="11"/>
      <c r="Q96" s="11"/>
      <c r="R96" s="2"/>
      <c r="S96" s="2"/>
      <c r="T96" s="2"/>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spans="1:50" ht="18" customHeight="1" x14ac:dyDescent="0.3">
      <c r="A97" s="1"/>
      <c r="B97" s="21"/>
      <c r="C97" s="11"/>
      <c r="D97" s="11"/>
      <c r="E97" s="11"/>
      <c r="F97" s="11"/>
      <c r="G97" s="11"/>
      <c r="H97" s="11"/>
      <c r="I97" s="11"/>
      <c r="J97" s="11"/>
      <c r="K97" s="11"/>
      <c r="L97" s="11"/>
      <c r="M97" s="11"/>
      <c r="N97" s="11"/>
      <c r="O97" s="11"/>
      <c r="P97" s="11"/>
      <c r="Q97" s="11"/>
      <c r="R97" s="2"/>
      <c r="S97" s="2"/>
      <c r="T97" s="2"/>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spans="1:50" ht="18" customHeight="1" collapsed="1" x14ac:dyDescent="0.3">
      <c r="A98" s="1"/>
      <c r="B98" s="21"/>
      <c r="C98" s="2"/>
      <c r="D98" s="2"/>
      <c r="E98" s="2"/>
      <c r="F98" s="2"/>
      <c r="G98" s="2"/>
      <c r="H98" s="2"/>
      <c r="I98" s="2"/>
      <c r="J98" s="2"/>
      <c r="K98" s="2"/>
      <c r="L98" s="2"/>
      <c r="M98" s="2"/>
      <c r="N98" s="2"/>
      <c r="O98" s="2"/>
      <c r="P98" s="2"/>
      <c r="Q98" s="2"/>
      <c r="R98" s="2"/>
      <c r="S98" s="2"/>
      <c r="T98" s="2"/>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spans="1:50" ht="18" customHeight="1" x14ac:dyDescent="0.3">
      <c r="A99" s="1"/>
      <c r="B99" s="21"/>
      <c r="C99" s="18"/>
      <c r="D99" s="18"/>
      <c r="E99" s="18"/>
      <c r="F99" s="18"/>
      <c r="G99" s="18"/>
      <c r="H99" s="18"/>
      <c r="I99" s="18"/>
      <c r="J99" s="18"/>
      <c r="K99" s="18"/>
      <c r="L99" s="18"/>
      <c r="M99" s="18"/>
      <c r="N99" s="18"/>
      <c r="O99" s="18"/>
      <c r="P99" s="18"/>
      <c r="Q99" s="18"/>
      <c r="R99" s="2"/>
      <c r="S99" s="2"/>
      <c r="T99" s="2"/>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spans="1:50" ht="18" customHeight="1" x14ac:dyDescent="0.3">
      <c r="A100" s="1"/>
      <c r="B100" s="21"/>
      <c r="C100" s="11"/>
      <c r="D100" s="11"/>
      <c r="E100" s="11"/>
      <c r="F100" s="11"/>
      <c r="G100" s="11"/>
      <c r="H100" s="11"/>
      <c r="I100" s="11"/>
      <c r="J100" s="11"/>
      <c r="K100" s="11"/>
      <c r="L100" s="11"/>
      <c r="M100" s="11"/>
      <c r="N100" s="11"/>
      <c r="O100" s="11"/>
      <c r="P100" s="11"/>
      <c r="Q100" s="11"/>
      <c r="R100" s="2"/>
      <c r="S100" s="2"/>
      <c r="T100" s="2"/>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spans="1:50" ht="18" customHeight="1" x14ac:dyDescent="0.3">
      <c r="A101" s="1"/>
      <c r="B101" s="21"/>
      <c r="C101" s="11"/>
      <c r="D101" s="11"/>
      <c r="E101" s="11"/>
      <c r="F101" s="11"/>
      <c r="G101" s="11"/>
      <c r="H101" s="11"/>
      <c r="I101" s="11"/>
      <c r="J101" s="11"/>
      <c r="K101" s="11"/>
      <c r="L101" s="11"/>
      <c r="M101" s="11"/>
      <c r="N101" s="11"/>
      <c r="O101" s="11"/>
      <c r="P101" s="11"/>
      <c r="Q101" s="11"/>
      <c r="R101" s="2"/>
      <c r="S101" s="2"/>
      <c r="T101" s="2"/>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spans="1:50" ht="18" customHeight="1" x14ac:dyDescent="0.3">
      <c r="A102" s="1"/>
      <c r="B102" s="21"/>
      <c r="C102" s="11"/>
      <c r="D102" s="11"/>
      <c r="E102" s="11"/>
      <c r="F102" s="11"/>
      <c r="G102" s="11"/>
      <c r="H102" s="11"/>
      <c r="I102" s="11"/>
      <c r="J102" s="11"/>
      <c r="K102" s="11"/>
      <c r="L102" s="11"/>
      <c r="M102" s="11"/>
      <c r="N102" s="11"/>
      <c r="O102" s="11"/>
      <c r="P102" s="11"/>
      <c r="Q102" s="11"/>
      <c r="R102" s="2"/>
      <c r="S102" s="2"/>
      <c r="T102" s="2"/>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spans="1:50" ht="18" customHeight="1" collapsed="1" x14ac:dyDescent="0.3">
      <c r="A103" s="1"/>
      <c r="B103" s="21"/>
      <c r="C103" s="11"/>
      <c r="D103" s="11"/>
      <c r="E103" s="11"/>
      <c r="F103" s="11"/>
      <c r="G103" s="11"/>
      <c r="H103" s="11"/>
      <c r="I103" s="11"/>
      <c r="J103" s="11"/>
      <c r="K103" s="11"/>
      <c r="L103" s="11"/>
      <c r="M103" s="11"/>
      <c r="N103" s="11"/>
      <c r="O103" s="11"/>
      <c r="P103" s="11"/>
      <c r="Q103" s="11"/>
      <c r="R103" s="2"/>
      <c r="S103" s="2"/>
      <c r="T103" s="2"/>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spans="1:50" ht="18" customHeight="1" x14ac:dyDescent="0.3">
      <c r="A104" s="1"/>
      <c r="B104" s="21"/>
      <c r="C104" s="15"/>
      <c r="D104" s="15"/>
      <c r="E104" s="15"/>
      <c r="F104" s="15"/>
      <c r="G104" s="15"/>
      <c r="H104" s="15"/>
      <c r="I104" s="15"/>
      <c r="J104" s="15"/>
      <c r="K104" s="15"/>
      <c r="L104" s="15"/>
      <c r="M104" s="15"/>
      <c r="N104" s="15"/>
      <c r="O104" s="15"/>
      <c r="P104" s="15"/>
      <c r="Q104" s="15"/>
      <c r="R104" s="2"/>
      <c r="S104" s="2"/>
      <c r="T104" s="2"/>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spans="1:50" ht="18" customHeight="1" x14ac:dyDescent="0.3">
      <c r="A105" s="1"/>
      <c r="B105" s="21"/>
      <c r="C105" s="11"/>
      <c r="D105" s="11"/>
      <c r="E105" s="11"/>
      <c r="F105" s="11"/>
      <c r="G105" s="11"/>
      <c r="H105" s="11"/>
      <c r="I105" s="11"/>
      <c r="J105" s="11"/>
      <c r="K105" s="11"/>
      <c r="L105" s="11"/>
      <c r="M105" s="11"/>
      <c r="N105" s="11"/>
      <c r="O105" s="11"/>
      <c r="P105" s="11"/>
      <c r="Q105" s="11"/>
      <c r="R105" s="2"/>
      <c r="S105" s="2"/>
      <c r="T105" s="2"/>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spans="1:50" ht="18" customHeight="1" x14ac:dyDescent="0.3">
      <c r="A106" s="1"/>
      <c r="B106" s="21"/>
      <c r="C106" s="11"/>
      <c r="D106" s="11"/>
      <c r="E106" s="11"/>
      <c r="F106" s="11"/>
      <c r="G106" s="11"/>
      <c r="H106" s="11"/>
      <c r="I106" s="11"/>
      <c r="J106" s="11"/>
      <c r="K106" s="11"/>
      <c r="L106" s="11"/>
      <c r="M106" s="11"/>
      <c r="N106" s="11"/>
      <c r="O106" s="11"/>
      <c r="P106" s="11"/>
      <c r="Q106" s="11"/>
      <c r="R106" s="2"/>
      <c r="S106" s="2"/>
      <c r="T106" s="2"/>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spans="1:50" ht="18" customHeight="1" x14ac:dyDescent="0.3">
      <c r="A107" s="1"/>
      <c r="B107" s="21"/>
      <c r="C107" s="11"/>
      <c r="D107" s="11"/>
      <c r="E107" s="11"/>
      <c r="F107" s="11"/>
      <c r="G107" s="11"/>
      <c r="H107" s="11"/>
      <c r="I107" s="11"/>
      <c r="J107" s="11"/>
      <c r="K107" s="11"/>
      <c r="L107" s="11"/>
      <c r="M107" s="11"/>
      <c r="N107" s="11"/>
      <c r="O107" s="11"/>
      <c r="P107" s="11"/>
      <c r="Q107" s="11"/>
      <c r="R107" s="2"/>
      <c r="S107" s="2"/>
      <c r="T107" s="2"/>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spans="1:50" ht="18" customHeight="1" collapsed="1" x14ac:dyDescent="0.3">
      <c r="A108" s="1"/>
      <c r="B108" s="21"/>
      <c r="C108" s="11"/>
      <c r="D108" s="11"/>
      <c r="E108" s="11"/>
      <c r="F108" s="11"/>
      <c r="G108" s="11"/>
      <c r="H108" s="11"/>
      <c r="I108" s="11"/>
      <c r="J108" s="11"/>
      <c r="K108" s="11"/>
      <c r="L108" s="11"/>
      <c r="M108" s="11"/>
      <c r="N108" s="11"/>
      <c r="O108" s="11"/>
      <c r="P108" s="11"/>
      <c r="Q108" s="11"/>
      <c r="R108" s="2"/>
      <c r="S108" s="2"/>
      <c r="T108" s="2"/>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spans="1:50" ht="18" customHeight="1" x14ac:dyDescent="0.3">
      <c r="A109" s="1"/>
      <c r="B109" s="21"/>
      <c r="C109" s="11"/>
      <c r="D109" s="11"/>
      <c r="E109" s="11"/>
      <c r="F109" s="11"/>
      <c r="G109" s="11"/>
      <c r="H109" s="11"/>
      <c r="I109" s="11"/>
      <c r="J109" s="11"/>
      <c r="K109" s="11"/>
      <c r="L109" s="11"/>
      <c r="M109" s="11"/>
      <c r="N109" s="11"/>
      <c r="O109" s="11"/>
      <c r="P109" s="11"/>
      <c r="Q109" s="11"/>
      <c r="R109" s="2"/>
      <c r="S109" s="2"/>
      <c r="T109" s="2"/>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spans="1:50" ht="18" customHeight="1" x14ac:dyDescent="0.3">
      <c r="A110" s="1"/>
      <c r="B110" s="21"/>
      <c r="C110" s="11"/>
      <c r="D110" s="11"/>
      <c r="E110" s="11"/>
      <c r="F110" s="11"/>
      <c r="G110" s="11"/>
      <c r="H110" s="11"/>
      <c r="I110" s="11"/>
      <c r="J110" s="11"/>
      <c r="K110" s="11"/>
      <c r="L110" s="11"/>
      <c r="M110" s="11"/>
      <c r="N110" s="11"/>
      <c r="O110" s="11"/>
      <c r="P110" s="11"/>
      <c r="Q110" s="11"/>
      <c r="R110" s="2"/>
      <c r="S110" s="2"/>
      <c r="T110" s="2"/>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spans="1:50" ht="18" customHeight="1" x14ac:dyDescent="0.3">
      <c r="A111" s="1"/>
      <c r="B111" s="21"/>
      <c r="C111" s="11"/>
      <c r="D111" s="11"/>
      <c r="E111" s="11"/>
      <c r="F111" s="11"/>
      <c r="G111" s="11"/>
      <c r="H111" s="11"/>
      <c r="I111" s="11"/>
      <c r="J111" s="11"/>
      <c r="K111" s="11"/>
      <c r="L111" s="11"/>
      <c r="M111" s="11"/>
      <c r="N111" s="11"/>
      <c r="O111" s="11"/>
      <c r="P111" s="11"/>
      <c r="Q111" s="11"/>
      <c r="R111" s="2"/>
      <c r="S111" s="2"/>
      <c r="T111" s="2"/>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spans="1:50" ht="18" customHeight="1" x14ac:dyDescent="0.3">
      <c r="A112" s="1"/>
      <c r="B112" s="21"/>
      <c r="C112" s="11"/>
      <c r="D112" s="11"/>
      <c r="E112" s="11"/>
      <c r="F112" s="11"/>
      <c r="G112" s="11"/>
      <c r="H112" s="11"/>
      <c r="I112" s="11"/>
      <c r="J112" s="11"/>
      <c r="K112" s="11"/>
      <c r="L112" s="11"/>
      <c r="M112" s="11"/>
      <c r="N112" s="11"/>
      <c r="O112" s="11"/>
      <c r="P112" s="11"/>
      <c r="Q112" s="11"/>
      <c r="R112" s="2"/>
      <c r="S112" s="2"/>
      <c r="T112" s="2"/>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spans="1:50" ht="18" customHeight="1" collapsed="1" x14ac:dyDescent="0.3">
      <c r="A113" s="1"/>
      <c r="B113" s="21"/>
      <c r="C113" s="2"/>
      <c r="D113" s="2"/>
      <c r="E113" s="2"/>
      <c r="F113" s="2"/>
      <c r="G113" s="2"/>
      <c r="H113" s="2"/>
      <c r="I113" s="2"/>
      <c r="J113" s="2"/>
      <c r="K113" s="2"/>
      <c r="L113" s="2"/>
      <c r="M113" s="2"/>
      <c r="N113" s="2"/>
      <c r="O113" s="2"/>
      <c r="P113" s="2"/>
      <c r="Q113" s="2"/>
      <c r="R113" s="2"/>
      <c r="S113" s="2"/>
      <c r="T113" s="2"/>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spans="1:50" ht="18" customHeight="1" x14ac:dyDescent="0.3">
      <c r="A114" s="1"/>
      <c r="B114" s="21"/>
      <c r="C114" s="18"/>
      <c r="D114" s="18"/>
      <c r="E114" s="18"/>
      <c r="F114" s="18"/>
      <c r="G114" s="18"/>
      <c r="H114" s="18"/>
      <c r="I114" s="18"/>
      <c r="J114" s="18"/>
      <c r="K114" s="18"/>
      <c r="L114" s="18"/>
      <c r="M114" s="18"/>
      <c r="N114" s="18"/>
      <c r="O114" s="18"/>
      <c r="P114" s="18"/>
      <c r="Q114" s="18"/>
      <c r="R114" s="2"/>
      <c r="S114" s="2"/>
      <c r="T114" s="2"/>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spans="1:50" ht="18" customHeight="1" x14ac:dyDescent="0.3">
      <c r="A115" s="1"/>
      <c r="B115" s="21"/>
      <c r="C115" s="11"/>
      <c r="D115" s="11"/>
      <c r="E115" s="11"/>
      <c r="F115" s="11"/>
      <c r="G115" s="11"/>
      <c r="H115" s="11"/>
      <c r="I115" s="11"/>
      <c r="J115" s="11"/>
      <c r="K115" s="11"/>
      <c r="L115" s="11"/>
      <c r="M115" s="11"/>
      <c r="N115" s="11"/>
      <c r="O115" s="11"/>
      <c r="P115" s="11"/>
      <c r="Q115" s="11"/>
      <c r="R115" s="2"/>
      <c r="S115" s="2"/>
      <c r="T115" s="2"/>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spans="1:50" ht="18" customHeight="1" x14ac:dyDescent="0.3">
      <c r="A116" s="1"/>
      <c r="B116" s="21"/>
      <c r="C116" s="11"/>
      <c r="D116" s="11"/>
      <c r="E116" s="11"/>
      <c r="F116" s="11"/>
      <c r="G116" s="11"/>
      <c r="H116" s="11"/>
      <c r="I116" s="11"/>
      <c r="J116" s="11"/>
      <c r="K116" s="11"/>
      <c r="L116" s="11"/>
      <c r="M116" s="11"/>
      <c r="N116" s="11"/>
      <c r="O116" s="11"/>
      <c r="P116" s="11"/>
      <c r="Q116" s="11"/>
      <c r="R116" s="2"/>
      <c r="S116" s="2"/>
      <c r="T116" s="2"/>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spans="1:50" ht="18" customHeight="1" x14ac:dyDescent="0.3">
      <c r="A117" s="1"/>
      <c r="B117" s="21"/>
      <c r="C117" s="15"/>
      <c r="D117" s="15"/>
      <c r="E117" s="15"/>
      <c r="F117" s="15"/>
      <c r="G117" s="15"/>
      <c r="H117" s="15"/>
      <c r="I117" s="15"/>
      <c r="J117" s="15"/>
      <c r="K117" s="15"/>
      <c r="L117" s="15"/>
      <c r="M117" s="15"/>
      <c r="N117" s="15"/>
      <c r="O117" s="15"/>
      <c r="P117" s="15"/>
      <c r="Q117" s="15"/>
      <c r="R117" s="2"/>
      <c r="S117" s="2"/>
      <c r="T117" s="2"/>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spans="1:50" ht="18" customHeight="1" x14ac:dyDescent="0.3">
      <c r="A118" s="1"/>
      <c r="B118" s="21"/>
      <c r="C118" s="11"/>
      <c r="D118" s="11"/>
      <c r="E118" s="11"/>
      <c r="F118" s="11"/>
      <c r="G118" s="11"/>
      <c r="H118" s="11"/>
      <c r="I118" s="11"/>
      <c r="J118" s="11"/>
      <c r="K118" s="11"/>
      <c r="L118" s="11"/>
      <c r="M118" s="11"/>
      <c r="N118" s="11"/>
      <c r="O118" s="11"/>
      <c r="P118" s="11"/>
      <c r="Q118" s="11"/>
      <c r="R118" s="2"/>
      <c r="S118" s="2"/>
      <c r="T118" s="2"/>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spans="1:50" ht="18" customHeight="1" x14ac:dyDescent="0.3">
      <c r="A119" s="1"/>
      <c r="B119" s="21"/>
      <c r="C119" s="11"/>
      <c r="D119" s="11"/>
      <c r="E119" s="11"/>
      <c r="F119" s="11"/>
      <c r="G119" s="11"/>
      <c r="H119" s="11"/>
      <c r="I119" s="11"/>
      <c r="J119" s="11"/>
      <c r="K119" s="11"/>
      <c r="L119" s="11"/>
      <c r="M119" s="11"/>
      <c r="N119" s="11"/>
      <c r="O119" s="11"/>
      <c r="P119" s="11"/>
      <c r="Q119" s="11"/>
      <c r="R119" s="2"/>
      <c r="S119" s="2"/>
      <c r="T119" s="2"/>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spans="1:50" ht="18" customHeight="1" collapsed="1" x14ac:dyDescent="0.3">
      <c r="A120" s="1"/>
      <c r="B120" s="21"/>
      <c r="C120" s="11"/>
      <c r="D120" s="11"/>
      <c r="E120" s="11"/>
      <c r="F120" s="11"/>
      <c r="G120" s="11"/>
      <c r="H120" s="11"/>
      <c r="I120" s="11"/>
      <c r="J120" s="11"/>
      <c r="K120" s="11"/>
      <c r="L120" s="11"/>
      <c r="M120" s="11"/>
      <c r="N120" s="11"/>
      <c r="O120" s="11"/>
      <c r="P120" s="11"/>
      <c r="Q120" s="11"/>
      <c r="R120" s="2"/>
      <c r="S120" s="2"/>
      <c r="T120" s="2"/>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spans="1:50" ht="18" customHeight="1" x14ac:dyDescent="0.3">
      <c r="A121" s="1"/>
      <c r="B121" s="21"/>
      <c r="C121" s="11"/>
      <c r="D121" s="11"/>
      <c r="E121" s="11"/>
      <c r="F121" s="11"/>
      <c r="G121" s="11"/>
      <c r="H121" s="11"/>
      <c r="I121" s="11"/>
      <c r="J121" s="11"/>
      <c r="K121" s="11"/>
      <c r="L121" s="11"/>
      <c r="M121" s="11"/>
      <c r="N121" s="11"/>
      <c r="O121" s="11"/>
      <c r="P121" s="11"/>
      <c r="Q121" s="11"/>
      <c r="R121" s="2"/>
      <c r="S121" s="2"/>
      <c r="T121" s="2"/>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spans="1:50" ht="18" customHeight="1" x14ac:dyDescent="0.3">
      <c r="A122" s="1"/>
      <c r="B122" s="21"/>
      <c r="C122" s="11"/>
      <c r="D122" s="11"/>
      <c r="E122" s="11"/>
      <c r="F122" s="11"/>
      <c r="G122" s="11"/>
      <c r="H122" s="11"/>
      <c r="I122" s="11"/>
      <c r="J122" s="11"/>
      <c r="K122" s="11"/>
      <c r="L122" s="11"/>
      <c r="M122" s="11"/>
      <c r="N122" s="11"/>
      <c r="O122" s="11"/>
      <c r="P122" s="11"/>
      <c r="Q122" s="11"/>
      <c r="R122" s="2"/>
      <c r="S122" s="2"/>
      <c r="T122" s="2"/>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spans="1:50" ht="18" customHeight="1" x14ac:dyDescent="0.3">
      <c r="A123" s="1"/>
      <c r="B123" s="21"/>
      <c r="C123" s="11"/>
      <c r="D123" s="11"/>
      <c r="E123" s="11"/>
      <c r="F123" s="11"/>
      <c r="G123" s="11"/>
      <c r="H123" s="11"/>
      <c r="I123" s="11"/>
      <c r="J123" s="11"/>
      <c r="K123" s="11"/>
      <c r="L123" s="11"/>
      <c r="M123" s="11"/>
      <c r="N123" s="11"/>
      <c r="O123" s="11"/>
      <c r="P123" s="11"/>
      <c r="Q123" s="11"/>
      <c r="R123" s="2"/>
      <c r="S123" s="2"/>
      <c r="T123" s="2"/>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spans="1:50" ht="18" customHeight="1" x14ac:dyDescent="0.3">
      <c r="A124" s="1"/>
      <c r="B124" s="21"/>
      <c r="C124" s="11"/>
      <c r="D124" s="11"/>
      <c r="E124" s="11"/>
      <c r="F124" s="11"/>
      <c r="G124" s="11"/>
      <c r="H124" s="11"/>
      <c r="I124" s="11"/>
      <c r="J124" s="11"/>
      <c r="K124" s="11"/>
      <c r="L124" s="11"/>
      <c r="M124" s="11"/>
      <c r="N124" s="11"/>
      <c r="O124" s="11"/>
      <c r="P124" s="11"/>
      <c r="Q124" s="11"/>
      <c r="R124" s="2"/>
      <c r="S124" s="2"/>
      <c r="T124" s="2"/>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spans="1:50" ht="18" customHeight="1" collapsed="1" x14ac:dyDescent="0.3">
      <c r="A125" s="1"/>
      <c r="B125" s="21"/>
      <c r="C125" s="15"/>
      <c r="D125" s="15"/>
      <c r="E125" s="15"/>
      <c r="F125" s="15"/>
      <c r="G125" s="15"/>
      <c r="H125" s="15"/>
      <c r="I125" s="15"/>
      <c r="J125" s="15"/>
      <c r="K125" s="15"/>
      <c r="L125" s="15"/>
      <c r="M125" s="15"/>
      <c r="N125" s="15"/>
      <c r="O125" s="15"/>
      <c r="P125" s="15"/>
      <c r="Q125" s="15"/>
      <c r="R125" s="2"/>
      <c r="S125" s="2"/>
      <c r="T125" s="2"/>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spans="1:50" ht="18" customHeight="1" x14ac:dyDescent="0.3">
      <c r="A126" s="1"/>
      <c r="B126" s="21"/>
      <c r="C126" s="15"/>
      <c r="D126" s="15"/>
      <c r="E126" s="15"/>
      <c r="F126" s="15"/>
      <c r="G126" s="15"/>
      <c r="H126" s="15"/>
      <c r="I126" s="15"/>
      <c r="J126" s="15"/>
      <c r="K126" s="15"/>
      <c r="L126" s="15"/>
      <c r="M126" s="15"/>
      <c r="N126" s="15"/>
      <c r="O126" s="15"/>
      <c r="P126" s="15"/>
      <c r="Q126" s="15"/>
      <c r="R126" s="2"/>
      <c r="S126" s="2"/>
      <c r="T126" s="2"/>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spans="1:50" ht="18" customHeight="1" x14ac:dyDescent="0.3">
      <c r="A127" s="1"/>
      <c r="B127" s="21"/>
      <c r="C127" s="15"/>
      <c r="D127" s="15"/>
      <c r="E127" s="15"/>
      <c r="F127" s="15"/>
      <c r="G127" s="15"/>
      <c r="H127" s="15"/>
      <c r="I127" s="15"/>
      <c r="J127" s="15"/>
      <c r="K127" s="15"/>
      <c r="L127" s="15"/>
      <c r="M127" s="15"/>
      <c r="N127" s="15"/>
      <c r="O127" s="15"/>
      <c r="P127" s="15"/>
      <c r="Q127" s="15"/>
      <c r="R127" s="2"/>
      <c r="S127" s="2"/>
      <c r="T127" s="2"/>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spans="1:50" ht="18" customHeight="1" x14ac:dyDescent="0.3">
      <c r="A128" s="1"/>
      <c r="B128" s="1"/>
      <c r="C128" s="11"/>
      <c r="D128" s="11"/>
      <c r="E128" s="11"/>
      <c r="F128" s="11"/>
      <c r="G128" s="11"/>
      <c r="H128" s="11"/>
      <c r="I128" s="11"/>
      <c r="J128" s="11"/>
      <c r="K128" s="11"/>
      <c r="L128" s="11"/>
      <c r="M128" s="11"/>
      <c r="N128" s="11"/>
      <c r="O128" s="11"/>
      <c r="P128" s="11"/>
      <c r="Q128" s="11"/>
      <c r="R128" s="2"/>
      <c r="S128" s="2"/>
      <c r="T128" s="2"/>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spans="1:50" x14ac:dyDescent="0.3">
      <c r="A129" s="1"/>
      <c r="B129" s="1"/>
      <c r="C129" s="2"/>
      <c r="D129" s="2"/>
      <c r="E129" s="2"/>
      <c r="F129" s="2"/>
      <c r="G129" s="2"/>
      <c r="H129" s="2"/>
      <c r="I129" s="2"/>
      <c r="J129" s="2"/>
      <c r="K129" s="2"/>
      <c r="L129" s="2"/>
      <c r="M129" s="2"/>
      <c r="N129" s="2"/>
      <c r="O129" s="2"/>
      <c r="P129" s="2"/>
      <c r="Q129" s="2"/>
      <c r="R129" s="2"/>
      <c r="S129" s="2"/>
      <c r="T129" s="2"/>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spans="1:50" x14ac:dyDescent="0.3">
      <c r="A130" s="1"/>
      <c r="B130" s="1"/>
      <c r="C130" s="2"/>
      <c r="D130" s="2"/>
      <c r="E130" s="2"/>
      <c r="F130" s="2"/>
      <c r="G130" s="2"/>
      <c r="H130" s="2"/>
      <c r="I130" s="2"/>
      <c r="J130" s="2"/>
      <c r="K130" s="2"/>
      <c r="L130" s="2"/>
      <c r="M130" s="2"/>
      <c r="N130" s="2"/>
      <c r="O130" s="2"/>
      <c r="P130" s="2"/>
      <c r="Q130" s="2"/>
      <c r="R130" s="2"/>
      <c r="S130" s="2"/>
      <c r="T130" s="2"/>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spans="1:50" x14ac:dyDescent="0.3">
      <c r="A131" s="1"/>
      <c r="B131" s="1"/>
      <c r="C131" s="2"/>
      <c r="D131" s="2"/>
      <c r="E131" s="2"/>
      <c r="F131" s="2"/>
      <c r="G131" s="2"/>
      <c r="H131" s="2"/>
      <c r="I131" s="2"/>
      <c r="J131" s="2"/>
      <c r="K131" s="2"/>
      <c r="L131" s="2"/>
      <c r="M131" s="2"/>
      <c r="N131" s="2"/>
      <c r="O131" s="2"/>
      <c r="P131" s="2"/>
      <c r="Q131" s="2"/>
      <c r="R131" s="2"/>
      <c r="S131" s="2"/>
      <c r="T131" s="2"/>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spans="1:50" x14ac:dyDescent="0.3">
      <c r="A132" s="1"/>
      <c r="B132" s="1"/>
      <c r="C132" s="2"/>
      <c r="D132" s="2"/>
      <c r="E132" s="2"/>
      <c r="F132" s="2"/>
      <c r="G132" s="2"/>
      <c r="H132" s="2"/>
      <c r="I132" s="2"/>
      <c r="J132" s="2"/>
      <c r="K132" s="2"/>
      <c r="L132" s="2"/>
      <c r="M132" s="2"/>
      <c r="N132" s="2"/>
      <c r="O132" s="2"/>
      <c r="P132" s="2"/>
      <c r="Q132" s="2"/>
      <c r="R132" s="2"/>
      <c r="S132" s="2"/>
      <c r="T132" s="2"/>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spans="1:50" x14ac:dyDescent="0.3">
      <c r="A133" s="1"/>
      <c r="B133" s="1"/>
      <c r="C133" s="2"/>
      <c r="D133" s="2"/>
      <c r="E133" s="2"/>
      <c r="F133" s="2"/>
      <c r="G133" s="2"/>
      <c r="H133" s="2"/>
      <c r="I133" s="2"/>
      <c r="J133" s="2"/>
      <c r="K133" s="2"/>
      <c r="L133" s="2"/>
      <c r="M133" s="2"/>
      <c r="N133" s="2"/>
      <c r="O133" s="2"/>
      <c r="P133" s="2"/>
      <c r="Q133" s="2"/>
      <c r="R133" s="2"/>
      <c r="S133" s="2"/>
      <c r="T133" s="2"/>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spans="1:50" x14ac:dyDescent="0.3">
      <c r="A134" s="1"/>
      <c r="B134" s="1"/>
      <c r="C134" s="2"/>
      <c r="D134" s="2"/>
      <c r="E134" s="2"/>
      <c r="F134" s="2"/>
      <c r="G134" s="2"/>
      <c r="H134" s="2"/>
      <c r="I134" s="2"/>
      <c r="J134" s="2"/>
      <c r="K134" s="2"/>
      <c r="L134" s="2"/>
      <c r="M134" s="2"/>
      <c r="N134" s="2"/>
      <c r="O134" s="2"/>
      <c r="P134" s="2"/>
      <c r="Q134" s="2"/>
      <c r="R134" s="2"/>
      <c r="S134" s="2"/>
      <c r="T134" s="2"/>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spans="1:50" x14ac:dyDescent="0.3">
      <c r="A135" s="1"/>
      <c r="B135" s="1"/>
      <c r="C135" s="2"/>
      <c r="D135" s="2"/>
      <c r="E135" s="2"/>
      <c r="F135" s="2"/>
      <c r="G135" s="2"/>
      <c r="H135" s="2"/>
      <c r="I135" s="2"/>
      <c r="J135" s="2"/>
      <c r="K135" s="2"/>
      <c r="L135" s="2"/>
      <c r="M135" s="2"/>
      <c r="N135" s="2"/>
      <c r="O135" s="2"/>
      <c r="P135" s="2"/>
      <c r="Q135" s="2"/>
      <c r="R135" s="2"/>
      <c r="S135" s="2"/>
      <c r="T135" s="2"/>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spans="1:50" x14ac:dyDescent="0.3">
      <c r="A136" s="1"/>
      <c r="B136" s="1"/>
      <c r="C136" s="2"/>
      <c r="D136" s="2"/>
      <c r="E136" s="2"/>
      <c r="F136" s="2"/>
      <c r="G136" s="2"/>
      <c r="H136" s="2"/>
      <c r="I136" s="2"/>
      <c r="J136" s="2"/>
      <c r="K136" s="2"/>
      <c r="L136" s="2"/>
      <c r="M136" s="2"/>
      <c r="N136" s="2"/>
      <c r="O136" s="2"/>
      <c r="P136" s="2"/>
      <c r="Q136" s="2"/>
      <c r="R136" s="2"/>
      <c r="S136" s="2"/>
      <c r="T136" s="2"/>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spans="1:50" x14ac:dyDescent="0.3">
      <c r="A137" s="1"/>
      <c r="B137" s="1"/>
      <c r="C137" s="2"/>
      <c r="D137" s="2"/>
      <c r="E137" s="2"/>
      <c r="F137" s="2"/>
      <c r="G137" s="2"/>
      <c r="H137" s="2"/>
      <c r="I137" s="2"/>
      <c r="J137" s="2"/>
      <c r="K137" s="2"/>
      <c r="L137" s="2"/>
      <c r="M137" s="2"/>
      <c r="N137" s="2"/>
      <c r="O137" s="2"/>
      <c r="P137" s="2"/>
      <c r="Q137" s="2"/>
      <c r="R137" s="2"/>
      <c r="S137" s="2"/>
      <c r="T137" s="2"/>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spans="1:50" x14ac:dyDescent="0.3">
      <c r="A138" s="1"/>
      <c r="B138" s="1"/>
      <c r="C138" s="2"/>
      <c r="D138" s="2"/>
      <c r="E138" s="2"/>
      <c r="F138" s="2"/>
      <c r="G138" s="2"/>
      <c r="H138" s="2"/>
      <c r="I138" s="2"/>
      <c r="J138" s="2"/>
      <c r="K138" s="2"/>
      <c r="L138" s="2"/>
      <c r="M138" s="2"/>
      <c r="N138" s="2"/>
      <c r="O138" s="2"/>
      <c r="P138" s="2"/>
      <c r="Q138" s="2"/>
      <c r="R138" s="2"/>
      <c r="S138" s="2"/>
      <c r="T138" s="2"/>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spans="1:50" x14ac:dyDescent="0.3">
      <c r="A139" s="1"/>
      <c r="B139" s="1"/>
      <c r="C139" s="2"/>
      <c r="D139" s="2"/>
      <c r="E139" s="2"/>
      <c r="F139" s="2"/>
      <c r="G139" s="2"/>
      <c r="H139" s="2"/>
      <c r="I139" s="2"/>
      <c r="J139" s="2"/>
      <c r="K139" s="2"/>
      <c r="L139" s="2"/>
      <c r="M139" s="2"/>
      <c r="N139" s="2"/>
      <c r="O139" s="2"/>
      <c r="P139" s="2"/>
      <c r="Q139" s="2"/>
      <c r="R139" s="2"/>
      <c r="S139" s="2"/>
      <c r="T139" s="2"/>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spans="1:50" x14ac:dyDescent="0.3">
      <c r="A140" s="1"/>
      <c r="B140" s="1"/>
      <c r="C140" s="2"/>
      <c r="D140" s="2"/>
      <c r="E140" s="2"/>
      <c r="F140" s="2"/>
      <c r="G140" s="2"/>
      <c r="H140" s="2"/>
      <c r="I140" s="2"/>
      <c r="J140" s="2"/>
      <c r="K140" s="2"/>
      <c r="L140" s="2"/>
      <c r="M140" s="2"/>
      <c r="N140" s="2"/>
      <c r="O140" s="2"/>
      <c r="P140" s="2"/>
      <c r="Q140" s="2"/>
      <c r="R140" s="2"/>
      <c r="S140" s="2"/>
      <c r="T140" s="2"/>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spans="1:50" x14ac:dyDescent="0.3">
      <c r="A141" s="1"/>
      <c r="B141" s="1"/>
      <c r="C141" s="2"/>
      <c r="D141" s="2"/>
      <c r="E141" s="2"/>
      <c r="F141" s="2"/>
      <c r="G141" s="2"/>
      <c r="H141" s="2"/>
      <c r="I141" s="2"/>
      <c r="J141" s="2"/>
      <c r="K141" s="2"/>
      <c r="L141" s="2"/>
      <c r="M141" s="2"/>
      <c r="N141" s="2"/>
      <c r="O141" s="2"/>
      <c r="P141" s="2"/>
      <c r="Q141" s="2"/>
      <c r="R141" s="2"/>
      <c r="S141" s="2"/>
      <c r="T141" s="2"/>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spans="1:50" x14ac:dyDescent="0.3">
      <c r="A142" s="1"/>
      <c r="B142" s="1"/>
      <c r="C142" s="2"/>
      <c r="D142" s="2"/>
      <c r="E142" s="2"/>
      <c r="F142" s="2"/>
      <c r="G142" s="2"/>
      <c r="H142" s="2"/>
      <c r="I142" s="2"/>
      <c r="J142" s="2"/>
      <c r="K142" s="2"/>
      <c r="L142" s="2"/>
      <c r="M142" s="2"/>
      <c r="N142" s="2"/>
      <c r="O142" s="2"/>
      <c r="P142" s="2"/>
      <c r="Q142" s="2"/>
      <c r="R142" s="2"/>
      <c r="S142" s="2"/>
      <c r="T142" s="2"/>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spans="1:50" x14ac:dyDescent="0.3">
      <c r="A143" s="1"/>
      <c r="B143" s="1"/>
      <c r="C143" s="2"/>
      <c r="D143" s="2"/>
      <c r="E143" s="2"/>
      <c r="F143" s="2"/>
      <c r="G143" s="2"/>
      <c r="H143" s="2"/>
      <c r="I143" s="2"/>
      <c r="J143" s="2"/>
      <c r="K143" s="2"/>
      <c r="L143" s="2"/>
      <c r="M143" s="2"/>
      <c r="N143" s="2"/>
      <c r="O143" s="2"/>
      <c r="P143" s="2"/>
      <c r="Q143" s="2"/>
      <c r="R143" s="2"/>
      <c r="S143" s="2"/>
      <c r="T143" s="2"/>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spans="1:50" x14ac:dyDescent="0.3">
      <c r="A144" s="1"/>
      <c r="B144" s="1"/>
      <c r="C144" s="2"/>
      <c r="D144" s="2"/>
      <c r="E144" s="2"/>
      <c r="F144" s="2"/>
      <c r="G144" s="2"/>
      <c r="H144" s="2"/>
      <c r="I144" s="2"/>
      <c r="J144" s="2"/>
      <c r="K144" s="2"/>
      <c r="L144" s="2"/>
      <c r="M144" s="2"/>
      <c r="N144" s="2"/>
      <c r="O144" s="2"/>
      <c r="P144" s="2"/>
      <c r="Q144" s="2"/>
      <c r="R144" s="2"/>
      <c r="S144" s="2"/>
      <c r="T144" s="2"/>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spans="1:50" x14ac:dyDescent="0.3">
      <c r="A145" s="1"/>
      <c r="B145" s="1"/>
      <c r="C145" s="2"/>
      <c r="D145" s="2"/>
      <c r="E145" s="2"/>
      <c r="F145" s="2"/>
      <c r="G145" s="2"/>
      <c r="H145" s="2"/>
      <c r="I145" s="2"/>
      <c r="J145" s="2"/>
      <c r="K145" s="2"/>
      <c r="L145" s="2"/>
      <c r="M145" s="2"/>
      <c r="N145" s="2"/>
      <c r="O145" s="2"/>
      <c r="P145" s="2"/>
      <c r="Q145" s="2"/>
      <c r="R145" s="2"/>
      <c r="S145" s="2"/>
      <c r="T145" s="2"/>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spans="1:50" x14ac:dyDescent="0.3">
      <c r="A146" s="1"/>
      <c r="B146" s="1"/>
      <c r="C146" s="2"/>
      <c r="D146" s="2"/>
      <c r="E146" s="2"/>
      <c r="F146" s="2"/>
      <c r="G146" s="2"/>
      <c r="H146" s="2"/>
      <c r="I146" s="2"/>
      <c r="J146" s="2"/>
      <c r="K146" s="2"/>
      <c r="L146" s="2"/>
      <c r="M146" s="2"/>
      <c r="N146" s="2"/>
      <c r="O146" s="2"/>
      <c r="P146" s="2"/>
      <c r="Q146" s="2"/>
      <c r="R146" s="2"/>
      <c r="S146" s="2"/>
      <c r="T146" s="2"/>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spans="1:50" x14ac:dyDescent="0.3">
      <c r="A147" s="1"/>
      <c r="B147" s="1"/>
      <c r="C147" s="2"/>
      <c r="D147" s="2"/>
      <c r="E147" s="2"/>
      <c r="F147" s="2"/>
      <c r="G147" s="2"/>
      <c r="H147" s="2"/>
      <c r="I147" s="2"/>
      <c r="J147" s="2"/>
      <c r="K147" s="2"/>
      <c r="L147" s="2"/>
      <c r="M147" s="2"/>
      <c r="N147" s="2"/>
      <c r="O147" s="2"/>
      <c r="P147" s="2"/>
      <c r="Q147" s="2"/>
      <c r="R147" s="2"/>
      <c r="S147" s="2"/>
      <c r="T147" s="2"/>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spans="1:50" x14ac:dyDescent="0.3">
      <c r="A148" s="1"/>
      <c r="B148" s="1"/>
      <c r="C148" s="2"/>
      <c r="D148" s="2"/>
      <c r="E148" s="2"/>
      <c r="F148" s="2"/>
      <c r="G148" s="2"/>
      <c r="H148" s="2"/>
      <c r="I148" s="2"/>
      <c r="J148" s="2"/>
      <c r="K148" s="2"/>
      <c r="L148" s="2"/>
      <c r="M148" s="2"/>
      <c r="N148" s="2"/>
      <c r="O148" s="2"/>
      <c r="P148" s="2"/>
      <c r="Q148" s="2"/>
      <c r="R148" s="2"/>
      <c r="S148" s="2"/>
      <c r="T148" s="2"/>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spans="1:50" x14ac:dyDescent="0.3">
      <c r="A149" s="1"/>
      <c r="B149" s="1"/>
      <c r="C149" s="2"/>
      <c r="D149" s="2"/>
      <c r="E149" s="2"/>
      <c r="F149" s="2"/>
      <c r="G149" s="2"/>
      <c r="H149" s="2"/>
      <c r="I149" s="2"/>
      <c r="J149" s="2"/>
      <c r="K149" s="2"/>
      <c r="L149" s="2"/>
      <c r="M149" s="2"/>
      <c r="N149" s="2"/>
      <c r="O149" s="2"/>
      <c r="P149" s="2"/>
      <c r="Q149" s="2"/>
      <c r="R149" s="2"/>
      <c r="S149" s="2"/>
      <c r="T149" s="2"/>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spans="1:50" x14ac:dyDescent="0.3">
      <c r="A150" s="1"/>
      <c r="B150" s="1"/>
      <c r="C150" s="2"/>
      <c r="D150" s="2"/>
      <c r="E150" s="2"/>
      <c r="F150" s="2"/>
      <c r="G150" s="2"/>
      <c r="H150" s="2"/>
      <c r="I150" s="2"/>
      <c r="J150" s="2"/>
      <c r="K150" s="2"/>
      <c r="L150" s="2"/>
      <c r="M150" s="2"/>
      <c r="N150" s="2"/>
      <c r="O150" s="2"/>
      <c r="P150" s="2"/>
      <c r="Q150" s="2"/>
      <c r="R150" s="2"/>
      <c r="S150" s="2"/>
      <c r="T150" s="2"/>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spans="1:50" x14ac:dyDescent="0.3">
      <c r="A151" s="1"/>
      <c r="B151" s="1"/>
      <c r="C151" s="2"/>
      <c r="D151" s="2"/>
      <c r="E151" s="2"/>
      <c r="F151" s="2"/>
      <c r="G151" s="2"/>
      <c r="H151" s="2"/>
      <c r="I151" s="2"/>
      <c r="J151" s="2"/>
      <c r="K151" s="2"/>
      <c r="L151" s="2"/>
      <c r="M151" s="2"/>
      <c r="N151" s="2"/>
      <c r="O151" s="2"/>
      <c r="P151" s="2"/>
      <c r="Q151" s="2"/>
      <c r="R151" s="2"/>
      <c r="S151" s="2"/>
      <c r="T151" s="2"/>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spans="1:50" x14ac:dyDescent="0.3">
      <c r="A152" s="1"/>
      <c r="B152" s="1"/>
      <c r="C152" s="2"/>
      <c r="D152" s="2"/>
      <c r="E152" s="2"/>
      <c r="F152" s="2"/>
      <c r="G152" s="2"/>
      <c r="H152" s="2"/>
      <c r="I152" s="2"/>
      <c r="J152" s="2"/>
      <c r="K152" s="2"/>
      <c r="L152" s="2"/>
      <c r="M152" s="2"/>
      <c r="N152" s="2"/>
      <c r="O152" s="2"/>
      <c r="P152" s="2"/>
      <c r="Q152" s="2"/>
      <c r="R152" s="2"/>
      <c r="S152" s="2"/>
      <c r="T152" s="2"/>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spans="1:50" x14ac:dyDescent="0.3">
      <c r="A153" s="1"/>
      <c r="B153" s="1"/>
      <c r="C153" s="2"/>
      <c r="D153" s="2"/>
      <c r="E153" s="2"/>
      <c r="F153" s="2"/>
      <c r="G153" s="2"/>
      <c r="H153" s="2"/>
      <c r="I153" s="2"/>
      <c r="J153" s="2"/>
      <c r="K153" s="2"/>
      <c r="L153" s="2"/>
      <c r="M153" s="2"/>
      <c r="N153" s="2"/>
      <c r="O153" s="2"/>
      <c r="P153" s="2"/>
      <c r="Q153" s="2"/>
      <c r="R153" s="2"/>
      <c r="S153" s="2"/>
      <c r="T153" s="2"/>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spans="1:50" x14ac:dyDescent="0.3">
      <c r="A154" s="1"/>
      <c r="B154" s="1"/>
      <c r="C154" s="2"/>
      <c r="D154" s="2"/>
      <c r="E154" s="2"/>
      <c r="F154" s="2"/>
      <c r="G154" s="2"/>
      <c r="H154" s="2"/>
      <c r="I154" s="2"/>
      <c r="J154" s="2"/>
      <c r="K154" s="2"/>
      <c r="L154" s="2"/>
      <c r="M154" s="2"/>
      <c r="N154" s="2"/>
      <c r="O154" s="2"/>
      <c r="P154" s="2"/>
      <c r="Q154" s="2"/>
      <c r="R154" s="2"/>
      <c r="S154" s="2"/>
      <c r="T154" s="2"/>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spans="1:50" x14ac:dyDescent="0.3">
      <c r="A155" s="1"/>
      <c r="B155" s="1"/>
      <c r="C155" s="2"/>
      <c r="D155" s="2"/>
      <c r="E155" s="2"/>
      <c r="F155" s="2"/>
      <c r="G155" s="2"/>
      <c r="H155" s="2"/>
      <c r="I155" s="2"/>
      <c r="J155" s="2"/>
      <c r="K155" s="2"/>
      <c r="L155" s="2"/>
      <c r="M155" s="2"/>
      <c r="N155" s="2"/>
      <c r="O155" s="2"/>
      <c r="P155" s="2"/>
      <c r="Q155" s="2"/>
      <c r="R155" s="2"/>
      <c r="S155" s="2"/>
      <c r="T155" s="2"/>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spans="1:50" x14ac:dyDescent="0.3">
      <c r="A156" s="1"/>
      <c r="B156" s="1"/>
      <c r="C156" s="2"/>
      <c r="D156" s="2"/>
      <c r="E156" s="2"/>
      <c r="F156" s="2"/>
      <c r="G156" s="2"/>
      <c r="H156" s="2"/>
      <c r="I156" s="2"/>
      <c r="J156" s="2"/>
      <c r="K156" s="2"/>
      <c r="L156" s="2"/>
      <c r="M156" s="2"/>
      <c r="N156" s="2"/>
      <c r="O156" s="2"/>
      <c r="P156" s="2"/>
      <c r="Q156" s="2"/>
      <c r="R156" s="2"/>
      <c r="S156" s="2"/>
      <c r="T156" s="2"/>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spans="1:50" x14ac:dyDescent="0.3">
      <c r="A157" s="1"/>
      <c r="B157" s="1"/>
      <c r="C157" s="2"/>
      <c r="D157" s="2"/>
      <c r="E157" s="2"/>
      <c r="F157" s="2"/>
      <c r="G157" s="2"/>
      <c r="H157" s="2"/>
      <c r="I157" s="2"/>
      <c r="J157" s="2"/>
      <c r="K157" s="2"/>
      <c r="L157" s="2"/>
      <c r="M157" s="2"/>
      <c r="N157" s="2"/>
      <c r="O157" s="2"/>
      <c r="P157" s="2"/>
      <c r="Q157" s="2"/>
      <c r="R157" s="2"/>
      <c r="S157" s="2"/>
      <c r="T157" s="2"/>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spans="1:50" x14ac:dyDescent="0.3">
      <c r="A158" s="1"/>
      <c r="B158" s="1"/>
      <c r="C158" s="2"/>
      <c r="D158" s="2"/>
      <c r="E158" s="2"/>
      <c r="F158" s="2"/>
      <c r="G158" s="2"/>
      <c r="H158" s="2"/>
      <c r="I158" s="2"/>
      <c r="J158" s="2"/>
      <c r="K158" s="2"/>
      <c r="L158" s="2"/>
      <c r="M158" s="2"/>
      <c r="N158" s="2"/>
      <c r="O158" s="2"/>
      <c r="P158" s="2"/>
      <c r="Q158" s="2"/>
      <c r="R158" s="2"/>
      <c r="S158" s="2"/>
      <c r="T158" s="2"/>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spans="1:50" x14ac:dyDescent="0.3">
      <c r="A159" s="1"/>
      <c r="B159" s="1"/>
      <c r="C159" s="2"/>
      <c r="D159" s="2"/>
      <c r="E159" s="2"/>
      <c r="F159" s="2"/>
      <c r="G159" s="2"/>
      <c r="H159" s="2"/>
      <c r="I159" s="2"/>
      <c r="J159" s="2"/>
      <c r="K159" s="2"/>
      <c r="L159" s="2"/>
      <c r="M159" s="2"/>
      <c r="N159" s="2"/>
      <c r="O159" s="2"/>
      <c r="P159" s="2"/>
      <c r="Q159" s="2"/>
      <c r="R159" s="2"/>
      <c r="S159" s="2"/>
      <c r="T159" s="2"/>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spans="1:50" x14ac:dyDescent="0.3">
      <c r="A160" s="1"/>
      <c r="B160" s="1"/>
      <c r="C160" s="2"/>
      <c r="D160" s="2"/>
      <c r="E160" s="2"/>
      <c r="F160" s="2"/>
      <c r="G160" s="2"/>
      <c r="H160" s="2"/>
      <c r="I160" s="2"/>
      <c r="J160" s="2"/>
      <c r="K160" s="2"/>
      <c r="L160" s="2"/>
      <c r="M160" s="2"/>
      <c r="N160" s="2"/>
      <c r="O160" s="2"/>
      <c r="P160" s="2"/>
      <c r="Q160" s="2"/>
      <c r="R160" s="2"/>
      <c r="S160" s="2"/>
      <c r="T160" s="2"/>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spans="1:50" x14ac:dyDescent="0.3">
      <c r="A161" s="1"/>
      <c r="B161" s="1"/>
      <c r="C161" s="2"/>
      <c r="D161" s="2"/>
      <c r="E161" s="2"/>
      <c r="F161" s="2"/>
      <c r="G161" s="2"/>
      <c r="H161" s="2"/>
      <c r="I161" s="2"/>
      <c r="J161" s="2"/>
      <c r="K161" s="2"/>
      <c r="L161" s="2"/>
      <c r="M161" s="2"/>
      <c r="N161" s="2"/>
      <c r="O161" s="2"/>
      <c r="P161" s="2"/>
      <c r="Q161" s="2"/>
      <c r="R161" s="2"/>
      <c r="S161" s="2"/>
      <c r="T161" s="2"/>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spans="1:50" x14ac:dyDescent="0.3">
      <c r="A162" s="1"/>
      <c r="B162" s="1"/>
      <c r="C162" s="2"/>
      <c r="D162" s="2"/>
      <c r="E162" s="2"/>
      <c r="F162" s="2"/>
      <c r="G162" s="2"/>
      <c r="H162" s="2"/>
      <c r="I162" s="2"/>
      <c r="J162" s="2"/>
      <c r="K162" s="2"/>
      <c r="L162" s="2"/>
      <c r="M162" s="2"/>
      <c r="N162" s="2"/>
      <c r="O162" s="2"/>
      <c r="P162" s="2"/>
      <c r="Q162" s="2"/>
      <c r="R162" s="2"/>
      <c r="S162" s="2"/>
      <c r="T162" s="2"/>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spans="1:50" x14ac:dyDescent="0.3">
      <c r="A163" s="1"/>
      <c r="B163" s="1"/>
      <c r="C163" s="2"/>
      <c r="D163" s="2"/>
      <c r="E163" s="2"/>
      <c r="F163" s="2"/>
      <c r="G163" s="2"/>
      <c r="H163" s="2"/>
      <c r="I163" s="2"/>
      <c r="J163" s="2"/>
      <c r="K163" s="2"/>
      <c r="L163" s="2"/>
      <c r="M163" s="2"/>
      <c r="N163" s="2"/>
      <c r="O163" s="2"/>
      <c r="P163" s="2"/>
      <c r="Q163" s="2"/>
      <c r="R163" s="2"/>
      <c r="S163" s="2"/>
      <c r="T163" s="2"/>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spans="1:50" x14ac:dyDescent="0.3">
      <c r="A164" s="1"/>
      <c r="B164" s="1"/>
      <c r="C164" s="2"/>
      <c r="D164" s="2"/>
      <c r="E164" s="2"/>
      <c r="F164" s="2"/>
      <c r="G164" s="2"/>
      <c r="H164" s="2"/>
      <c r="I164" s="2"/>
      <c r="J164" s="2"/>
      <c r="K164" s="2"/>
      <c r="L164" s="2"/>
      <c r="M164" s="2"/>
      <c r="N164" s="2"/>
      <c r="O164" s="2"/>
      <c r="P164" s="2"/>
      <c r="Q164" s="2"/>
      <c r="R164" s="2"/>
      <c r="S164" s="2"/>
      <c r="T164" s="2"/>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spans="1:50" x14ac:dyDescent="0.3">
      <c r="A165" s="1"/>
      <c r="B165" s="1"/>
      <c r="C165" s="2"/>
      <c r="D165" s="2"/>
      <c r="E165" s="2"/>
      <c r="F165" s="2"/>
      <c r="G165" s="2"/>
      <c r="H165" s="2"/>
      <c r="I165" s="2"/>
      <c r="J165" s="2"/>
      <c r="K165" s="2"/>
      <c r="L165" s="2"/>
      <c r="M165" s="2"/>
      <c r="N165" s="2"/>
      <c r="O165" s="2"/>
      <c r="P165" s="2"/>
      <c r="Q165" s="2"/>
      <c r="R165" s="2"/>
      <c r="S165" s="2"/>
      <c r="T165" s="2"/>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spans="1:50" x14ac:dyDescent="0.3">
      <c r="A166" s="1"/>
      <c r="B166" s="1"/>
      <c r="C166" s="2"/>
      <c r="D166" s="2"/>
      <c r="E166" s="2"/>
      <c r="F166" s="2"/>
      <c r="G166" s="2"/>
      <c r="H166" s="2"/>
      <c r="I166" s="2"/>
      <c r="J166" s="2"/>
      <c r="K166" s="2"/>
      <c r="L166" s="2"/>
      <c r="M166" s="2"/>
      <c r="N166" s="2"/>
      <c r="O166" s="2"/>
      <c r="P166" s="2"/>
      <c r="Q166" s="2"/>
      <c r="R166" s="2"/>
      <c r="S166" s="2"/>
      <c r="T166" s="2"/>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spans="1:50" x14ac:dyDescent="0.3">
      <c r="A167" s="1"/>
      <c r="B167" s="1"/>
      <c r="C167" s="2"/>
      <c r="D167" s="2"/>
      <c r="E167" s="2"/>
      <c r="F167" s="2"/>
      <c r="G167" s="2"/>
      <c r="H167" s="2"/>
      <c r="I167" s="2"/>
      <c r="J167" s="2"/>
      <c r="K167" s="2"/>
      <c r="L167" s="2"/>
      <c r="M167" s="2"/>
      <c r="N167" s="2"/>
      <c r="O167" s="2"/>
      <c r="P167" s="2"/>
      <c r="Q167" s="2"/>
      <c r="R167" s="2"/>
      <c r="S167" s="2"/>
      <c r="T167" s="2"/>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spans="1:50" x14ac:dyDescent="0.3">
      <c r="A168" s="1"/>
      <c r="B168" s="1"/>
      <c r="C168" s="2"/>
      <c r="D168" s="2"/>
      <c r="E168" s="2"/>
      <c r="F168" s="2"/>
      <c r="G168" s="2"/>
      <c r="H168" s="2"/>
      <c r="I168" s="2"/>
      <c r="J168" s="2"/>
      <c r="K168" s="2"/>
      <c r="L168" s="2"/>
      <c r="M168" s="2"/>
      <c r="N168" s="2"/>
      <c r="O168" s="2"/>
      <c r="P168" s="2"/>
      <c r="Q168" s="2"/>
      <c r="R168" s="2"/>
      <c r="S168" s="2"/>
      <c r="T168" s="2"/>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spans="1:50" x14ac:dyDescent="0.3">
      <c r="A169" s="1"/>
      <c r="B169" s="1"/>
      <c r="C169" s="2"/>
      <c r="D169" s="2"/>
      <c r="E169" s="2"/>
      <c r="F169" s="2"/>
      <c r="G169" s="2"/>
      <c r="H169" s="2"/>
      <c r="I169" s="2"/>
      <c r="J169" s="2"/>
      <c r="K169" s="2"/>
      <c r="L169" s="2"/>
      <c r="M169" s="2"/>
      <c r="N169" s="2"/>
      <c r="O169" s="2"/>
      <c r="P169" s="2"/>
      <c r="Q169" s="2"/>
      <c r="R169" s="2"/>
      <c r="S169" s="2"/>
      <c r="T169" s="2"/>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spans="1:50" x14ac:dyDescent="0.3">
      <c r="A170" s="1"/>
      <c r="B170" s="1"/>
      <c r="C170" s="2"/>
      <c r="D170" s="2"/>
      <c r="E170" s="2"/>
      <c r="F170" s="2"/>
      <c r="G170" s="2"/>
      <c r="H170" s="2"/>
      <c r="I170" s="2"/>
      <c r="J170" s="2"/>
      <c r="K170" s="2"/>
      <c r="L170" s="2"/>
      <c r="M170" s="2"/>
      <c r="N170" s="2"/>
      <c r="O170" s="2"/>
      <c r="P170" s="2"/>
      <c r="Q170" s="2"/>
      <c r="R170" s="2"/>
      <c r="S170" s="2"/>
      <c r="T170" s="2"/>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spans="1:50" x14ac:dyDescent="0.3">
      <c r="A171" s="1"/>
      <c r="B171" s="1"/>
      <c r="C171" s="2"/>
      <c r="D171" s="2"/>
      <c r="E171" s="2"/>
      <c r="F171" s="2"/>
      <c r="G171" s="2"/>
      <c r="H171" s="2"/>
      <c r="I171" s="2"/>
      <c r="J171" s="2"/>
      <c r="K171" s="2"/>
      <c r="L171" s="2"/>
      <c r="M171" s="2"/>
      <c r="N171" s="2"/>
      <c r="O171" s="2"/>
      <c r="P171" s="2"/>
      <c r="Q171" s="2"/>
      <c r="R171" s="2"/>
      <c r="S171" s="2"/>
      <c r="T171" s="2"/>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spans="1:50" x14ac:dyDescent="0.3">
      <c r="A172" s="1"/>
      <c r="B172" s="1"/>
      <c r="C172" s="2"/>
      <c r="D172" s="2"/>
      <c r="E172" s="2"/>
      <c r="F172" s="2"/>
      <c r="G172" s="2"/>
      <c r="H172" s="2"/>
      <c r="I172" s="2"/>
      <c r="J172" s="2"/>
      <c r="K172" s="2"/>
      <c r="L172" s="2"/>
      <c r="M172" s="2"/>
      <c r="N172" s="2"/>
      <c r="O172" s="2"/>
      <c r="P172" s="2"/>
      <c r="Q172" s="2"/>
      <c r="R172" s="2"/>
      <c r="S172" s="2"/>
      <c r="T172" s="2"/>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spans="1:50" x14ac:dyDescent="0.3">
      <c r="A173" s="1"/>
      <c r="B173" s="1"/>
      <c r="C173" s="2"/>
      <c r="D173" s="2"/>
      <c r="E173" s="2"/>
      <c r="F173" s="2"/>
      <c r="G173" s="2"/>
      <c r="H173" s="2"/>
      <c r="I173" s="2"/>
      <c r="J173" s="2"/>
      <c r="K173" s="2"/>
      <c r="L173" s="2"/>
      <c r="M173" s="2"/>
      <c r="N173" s="2"/>
      <c r="O173" s="2"/>
      <c r="P173" s="2"/>
      <c r="Q173" s="2"/>
      <c r="R173" s="2"/>
      <c r="S173" s="2"/>
      <c r="T173" s="2"/>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spans="1:50" x14ac:dyDescent="0.3">
      <c r="A174" s="1"/>
      <c r="B174" s="1"/>
      <c r="C174" s="2"/>
      <c r="D174" s="2"/>
      <c r="E174" s="2"/>
      <c r="F174" s="2"/>
      <c r="G174" s="2"/>
      <c r="H174" s="2"/>
      <c r="I174" s="2"/>
      <c r="J174" s="2"/>
      <c r="K174" s="2"/>
      <c r="L174" s="2"/>
      <c r="M174" s="2"/>
      <c r="N174" s="2"/>
      <c r="O174" s="2"/>
      <c r="P174" s="2"/>
      <c r="Q174" s="2"/>
      <c r="R174" s="2"/>
      <c r="S174" s="2"/>
      <c r="T174" s="2"/>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spans="1:50" x14ac:dyDescent="0.3">
      <c r="A175" s="1"/>
      <c r="B175" s="1"/>
      <c r="C175" s="2"/>
      <c r="D175" s="2"/>
      <c r="E175" s="2"/>
      <c r="F175" s="2"/>
      <c r="G175" s="2"/>
      <c r="H175" s="2"/>
      <c r="I175" s="2"/>
      <c r="J175" s="2"/>
      <c r="K175" s="2"/>
      <c r="L175" s="2"/>
      <c r="M175" s="2"/>
      <c r="N175" s="2"/>
      <c r="O175" s="2"/>
      <c r="P175" s="2"/>
      <c r="Q175" s="2"/>
      <c r="R175" s="2"/>
      <c r="S175" s="2"/>
      <c r="T175" s="2"/>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spans="1:50" x14ac:dyDescent="0.3">
      <c r="A176" s="1"/>
      <c r="B176" s="1"/>
      <c r="C176" s="2"/>
      <c r="D176" s="2"/>
      <c r="E176" s="2"/>
      <c r="F176" s="2"/>
      <c r="G176" s="2"/>
      <c r="H176" s="2"/>
      <c r="I176" s="2"/>
      <c r="J176" s="2"/>
      <c r="K176" s="2"/>
      <c r="L176" s="2"/>
      <c r="M176" s="2"/>
      <c r="N176" s="2"/>
      <c r="O176" s="2"/>
      <c r="P176" s="2"/>
      <c r="Q176" s="2"/>
      <c r="R176" s="2"/>
      <c r="S176" s="2"/>
      <c r="T176" s="2"/>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spans="1:50" x14ac:dyDescent="0.3">
      <c r="A177" s="1"/>
      <c r="B177" s="1"/>
      <c r="C177" s="2"/>
      <c r="D177" s="2"/>
      <c r="E177" s="2"/>
      <c r="F177" s="2"/>
      <c r="G177" s="2"/>
      <c r="H177" s="2"/>
      <c r="I177" s="2"/>
      <c r="J177" s="2"/>
      <c r="K177" s="2"/>
      <c r="L177" s="2"/>
      <c r="M177" s="2"/>
      <c r="N177" s="2"/>
      <c r="O177" s="2"/>
      <c r="P177" s="2"/>
      <c r="Q177" s="2"/>
      <c r="R177" s="2"/>
      <c r="S177" s="2"/>
      <c r="T177" s="2"/>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spans="1:50" x14ac:dyDescent="0.3">
      <c r="A178" s="1"/>
      <c r="B178" s="1"/>
      <c r="C178" s="2"/>
      <c r="D178" s="2"/>
      <c r="E178" s="2"/>
      <c r="F178" s="2"/>
      <c r="G178" s="2"/>
      <c r="H178" s="2"/>
      <c r="I178" s="2"/>
      <c r="J178" s="2"/>
      <c r="K178" s="2"/>
      <c r="L178" s="2"/>
      <c r="M178" s="2"/>
      <c r="N178" s="2"/>
      <c r="O178" s="2"/>
      <c r="P178" s="2"/>
      <c r="Q178" s="2"/>
      <c r="R178" s="2"/>
      <c r="S178" s="2"/>
      <c r="T178" s="2"/>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spans="1:50" x14ac:dyDescent="0.3">
      <c r="A179" s="1"/>
      <c r="B179" s="1"/>
      <c r="C179" s="2"/>
      <c r="D179" s="2"/>
      <c r="E179" s="2"/>
      <c r="F179" s="2"/>
      <c r="G179" s="2"/>
      <c r="H179" s="2"/>
      <c r="I179" s="2"/>
      <c r="J179" s="2"/>
      <c r="K179" s="2"/>
      <c r="L179" s="2"/>
      <c r="M179" s="2"/>
      <c r="N179" s="2"/>
      <c r="O179" s="2"/>
      <c r="P179" s="2"/>
      <c r="Q179" s="2"/>
      <c r="R179" s="2"/>
      <c r="S179" s="2"/>
      <c r="T179" s="2"/>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spans="1:50" x14ac:dyDescent="0.3">
      <c r="A180" s="1"/>
      <c r="B180" s="1"/>
      <c r="C180" s="2"/>
      <c r="D180" s="2"/>
      <c r="E180" s="2"/>
      <c r="F180" s="2"/>
      <c r="G180" s="2"/>
      <c r="H180" s="2"/>
      <c r="I180" s="2"/>
      <c r="J180" s="2"/>
      <c r="K180" s="2"/>
      <c r="L180" s="2"/>
      <c r="M180" s="2"/>
      <c r="N180" s="2"/>
      <c r="O180" s="2"/>
      <c r="P180" s="2"/>
      <c r="Q180" s="2"/>
      <c r="R180" s="2"/>
      <c r="S180" s="2"/>
      <c r="T180" s="2"/>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spans="1:50" x14ac:dyDescent="0.3">
      <c r="A181" s="1"/>
      <c r="B181" s="1"/>
      <c r="C181" s="2"/>
      <c r="D181" s="2"/>
      <c r="E181" s="2"/>
      <c r="F181" s="2"/>
      <c r="G181" s="2"/>
      <c r="H181" s="2"/>
      <c r="I181" s="2"/>
      <c r="J181" s="2"/>
      <c r="K181" s="2"/>
      <c r="L181" s="2"/>
      <c r="M181" s="2"/>
      <c r="N181" s="2"/>
      <c r="O181" s="2"/>
      <c r="P181" s="2"/>
      <c r="Q181" s="2"/>
      <c r="R181" s="2"/>
      <c r="S181" s="2"/>
      <c r="T181" s="2"/>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spans="1:50" x14ac:dyDescent="0.3">
      <c r="A182" s="1"/>
      <c r="B182" s="1"/>
      <c r="C182" s="2"/>
      <c r="D182" s="2"/>
      <c r="E182" s="2"/>
      <c r="F182" s="2"/>
      <c r="G182" s="2"/>
      <c r="H182" s="2"/>
      <c r="I182" s="2"/>
      <c r="J182" s="2"/>
      <c r="K182" s="2"/>
      <c r="L182" s="2"/>
      <c r="M182" s="2"/>
      <c r="N182" s="2"/>
      <c r="O182" s="2"/>
      <c r="P182" s="2"/>
      <c r="Q182" s="2"/>
      <c r="R182" s="2"/>
      <c r="S182" s="2"/>
      <c r="T182" s="2"/>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spans="1:50" x14ac:dyDescent="0.3">
      <c r="A183" s="1"/>
      <c r="B183" s="1"/>
      <c r="C183" s="2"/>
      <c r="D183" s="2"/>
      <c r="E183" s="2"/>
      <c r="F183" s="2"/>
      <c r="G183" s="2"/>
      <c r="H183" s="2"/>
      <c r="I183" s="2"/>
      <c r="J183" s="2"/>
      <c r="K183" s="2"/>
      <c r="L183" s="2"/>
      <c r="M183" s="2"/>
      <c r="N183" s="2"/>
      <c r="O183" s="2"/>
      <c r="P183" s="2"/>
      <c r="Q183" s="2"/>
      <c r="R183" s="2"/>
      <c r="S183" s="2"/>
      <c r="T183" s="2"/>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spans="1:50" x14ac:dyDescent="0.3">
      <c r="A184" s="1"/>
      <c r="B184" s="1"/>
      <c r="C184" s="2"/>
      <c r="D184" s="2"/>
      <c r="E184" s="2"/>
      <c r="F184" s="2"/>
      <c r="G184" s="2"/>
      <c r="H184" s="2"/>
      <c r="I184" s="2"/>
      <c r="J184" s="2"/>
      <c r="K184" s="2"/>
      <c r="L184" s="2"/>
      <c r="M184" s="2"/>
      <c r="N184" s="2"/>
      <c r="O184" s="2"/>
      <c r="P184" s="2"/>
      <c r="Q184" s="2"/>
      <c r="R184" s="2"/>
      <c r="S184" s="2"/>
      <c r="T184" s="2"/>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spans="1:50" x14ac:dyDescent="0.3">
      <c r="A185" s="1"/>
      <c r="B185" s="1"/>
      <c r="C185" s="2"/>
      <c r="D185" s="2"/>
      <c r="E185" s="2"/>
      <c r="F185" s="2"/>
      <c r="G185" s="2"/>
      <c r="H185" s="2"/>
      <c r="I185" s="2"/>
      <c r="J185" s="2"/>
      <c r="K185" s="2"/>
      <c r="L185" s="2"/>
      <c r="M185" s="2"/>
      <c r="N185" s="2"/>
      <c r="O185" s="2"/>
      <c r="P185" s="2"/>
      <c r="Q185" s="2"/>
      <c r="R185" s="2"/>
      <c r="S185" s="2"/>
      <c r="T185" s="2"/>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spans="1:50" x14ac:dyDescent="0.3">
      <c r="A186" s="1"/>
      <c r="B186" s="1"/>
      <c r="C186" s="2"/>
      <c r="D186" s="2"/>
      <c r="E186" s="2"/>
      <c r="F186" s="2"/>
      <c r="G186" s="2"/>
      <c r="H186" s="2"/>
      <c r="I186" s="2"/>
      <c r="J186" s="2"/>
      <c r="K186" s="2"/>
      <c r="L186" s="2"/>
      <c r="M186" s="2"/>
      <c r="N186" s="2"/>
      <c r="O186" s="2"/>
      <c r="P186" s="2"/>
      <c r="Q186" s="2"/>
      <c r="R186" s="2"/>
      <c r="S186" s="2"/>
      <c r="T186" s="2"/>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spans="1:50" x14ac:dyDescent="0.3">
      <c r="A187" s="1"/>
      <c r="B187" s="1"/>
      <c r="C187" s="2"/>
      <c r="D187" s="2"/>
      <c r="E187" s="2"/>
      <c r="F187" s="2"/>
      <c r="G187" s="2"/>
      <c r="H187" s="2"/>
      <c r="I187" s="2"/>
      <c r="J187" s="2"/>
      <c r="K187" s="2"/>
      <c r="L187" s="2"/>
      <c r="M187" s="2"/>
      <c r="N187" s="2"/>
      <c r="O187" s="2"/>
      <c r="P187" s="2"/>
      <c r="Q187" s="2"/>
      <c r="R187" s="2"/>
      <c r="S187" s="2"/>
      <c r="T187" s="2"/>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spans="1:50" x14ac:dyDescent="0.3">
      <c r="A188" s="1"/>
      <c r="B188" s="1"/>
      <c r="C188" s="2"/>
      <c r="D188" s="2"/>
      <c r="E188" s="2"/>
      <c r="F188" s="2"/>
      <c r="G188" s="2"/>
      <c r="H188" s="2"/>
      <c r="I188" s="2"/>
      <c r="J188" s="2"/>
      <c r="K188" s="2"/>
      <c r="L188" s="2"/>
      <c r="M188" s="2"/>
      <c r="N188" s="2"/>
      <c r="O188" s="2"/>
      <c r="P188" s="2"/>
      <c r="Q188" s="2"/>
      <c r="R188" s="2"/>
      <c r="S188" s="2"/>
      <c r="T188" s="2"/>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spans="1:50" x14ac:dyDescent="0.3">
      <c r="A189" s="1"/>
      <c r="B189" s="1"/>
      <c r="C189" s="2"/>
      <c r="D189" s="2"/>
      <c r="E189" s="2"/>
      <c r="F189" s="2"/>
      <c r="G189" s="2"/>
      <c r="H189" s="2"/>
      <c r="I189" s="2"/>
      <c r="J189" s="2"/>
      <c r="K189" s="2"/>
      <c r="L189" s="2"/>
      <c r="M189" s="2"/>
      <c r="N189" s="2"/>
      <c r="O189" s="2"/>
      <c r="P189" s="2"/>
      <c r="Q189" s="2"/>
      <c r="R189" s="2"/>
      <c r="S189" s="2"/>
      <c r="T189" s="2"/>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spans="1:50" x14ac:dyDescent="0.3">
      <c r="A190" s="1"/>
      <c r="B190" s="1"/>
      <c r="C190" s="2"/>
      <c r="D190" s="2"/>
      <c r="E190" s="2"/>
      <c r="F190" s="2"/>
      <c r="G190" s="2"/>
      <c r="H190" s="2"/>
      <c r="I190" s="2"/>
      <c r="J190" s="2"/>
      <c r="K190" s="2"/>
      <c r="L190" s="2"/>
      <c r="M190" s="2"/>
      <c r="N190" s="2"/>
      <c r="O190" s="2"/>
      <c r="P190" s="2"/>
      <c r="Q190" s="2"/>
      <c r="R190" s="2"/>
      <c r="S190" s="2"/>
      <c r="T190" s="2"/>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spans="1:50" x14ac:dyDescent="0.3">
      <c r="A191" s="1"/>
      <c r="B191" s="1"/>
      <c r="C191" s="2"/>
      <c r="D191" s="2"/>
      <c r="E191" s="2"/>
      <c r="F191" s="2"/>
      <c r="G191" s="2"/>
      <c r="H191" s="2"/>
      <c r="I191" s="2"/>
      <c r="J191" s="2"/>
      <c r="K191" s="2"/>
      <c r="L191" s="2"/>
      <c r="M191" s="2"/>
      <c r="N191" s="2"/>
      <c r="O191" s="2"/>
      <c r="P191" s="2"/>
      <c r="Q191" s="2"/>
      <c r="R191" s="2"/>
      <c r="S191" s="2"/>
      <c r="T191" s="2"/>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spans="1:50" x14ac:dyDescent="0.3">
      <c r="A192" s="1"/>
      <c r="B192" s="1"/>
      <c r="C192" s="2"/>
      <c r="D192" s="2"/>
      <c r="E192" s="2"/>
      <c r="F192" s="2"/>
      <c r="G192" s="2"/>
      <c r="H192" s="2"/>
      <c r="I192" s="2"/>
      <c r="J192" s="2"/>
      <c r="K192" s="2"/>
      <c r="L192" s="2"/>
      <c r="M192" s="2"/>
      <c r="N192" s="2"/>
      <c r="O192" s="2"/>
      <c r="P192" s="2"/>
      <c r="Q192" s="2"/>
      <c r="R192" s="2"/>
      <c r="S192" s="2"/>
      <c r="T192" s="2"/>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spans="1:50" x14ac:dyDescent="0.3">
      <c r="A193" s="1"/>
      <c r="B193" s="1"/>
      <c r="C193" s="2"/>
      <c r="D193" s="2"/>
      <c r="E193" s="2"/>
      <c r="F193" s="2"/>
      <c r="G193" s="2"/>
      <c r="H193" s="2"/>
      <c r="I193" s="2"/>
      <c r="J193" s="2"/>
      <c r="K193" s="2"/>
      <c r="L193" s="2"/>
      <c r="M193" s="2"/>
      <c r="N193" s="2"/>
      <c r="O193" s="2"/>
      <c r="P193" s="2"/>
      <c r="Q193" s="2"/>
      <c r="R193" s="2"/>
      <c r="S193" s="2"/>
      <c r="T193" s="2"/>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spans="1:50" x14ac:dyDescent="0.3">
      <c r="A194" s="1"/>
      <c r="B194" s="1"/>
      <c r="C194" s="2"/>
      <c r="D194" s="2"/>
      <c r="E194" s="2"/>
      <c r="F194" s="2"/>
      <c r="G194" s="2"/>
      <c r="H194" s="2"/>
      <c r="I194" s="2"/>
      <c r="J194" s="2"/>
      <c r="K194" s="2"/>
      <c r="L194" s="2"/>
      <c r="M194" s="2"/>
      <c r="N194" s="2"/>
      <c r="O194" s="2"/>
      <c r="P194" s="2"/>
      <c r="Q194" s="2"/>
      <c r="R194" s="2"/>
      <c r="S194" s="2"/>
      <c r="T194" s="2"/>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spans="1:50" x14ac:dyDescent="0.3">
      <c r="A195" s="1"/>
      <c r="B195" s="1"/>
      <c r="C195" s="2"/>
      <c r="D195" s="2"/>
      <c r="E195" s="2"/>
      <c r="F195" s="2"/>
      <c r="G195" s="2"/>
      <c r="H195" s="2"/>
      <c r="I195" s="2"/>
      <c r="J195" s="2"/>
      <c r="K195" s="2"/>
      <c r="L195" s="2"/>
      <c r="M195" s="2"/>
      <c r="N195" s="2"/>
      <c r="O195" s="2"/>
      <c r="P195" s="2"/>
      <c r="Q195" s="2"/>
      <c r="R195" s="2"/>
      <c r="S195" s="2"/>
      <c r="T195" s="2"/>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spans="1:50" x14ac:dyDescent="0.3">
      <c r="A196" s="1"/>
      <c r="B196" s="1"/>
      <c r="C196" s="2"/>
      <c r="D196" s="2"/>
      <c r="E196" s="2"/>
      <c r="F196" s="2"/>
      <c r="G196" s="2"/>
      <c r="H196" s="2"/>
      <c r="I196" s="2"/>
      <c r="J196" s="2"/>
      <c r="K196" s="2"/>
      <c r="L196" s="2"/>
      <c r="M196" s="2"/>
      <c r="N196" s="2"/>
      <c r="O196" s="2"/>
      <c r="P196" s="2"/>
      <c r="Q196" s="2"/>
      <c r="R196" s="2"/>
      <c r="S196" s="2"/>
      <c r="T196" s="2"/>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spans="1:50" x14ac:dyDescent="0.3">
      <c r="A197" s="1"/>
      <c r="B197" s="1"/>
      <c r="C197" s="2"/>
      <c r="D197" s="2"/>
      <c r="E197" s="2"/>
      <c r="F197" s="2"/>
      <c r="G197" s="2"/>
      <c r="H197" s="2"/>
      <c r="I197" s="2"/>
      <c r="J197" s="2"/>
      <c r="K197" s="2"/>
      <c r="L197" s="2"/>
      <c r="M197" s="2"/>
      <c r="N197" s="2"/>
      <c r="O197" s="2"/>
      <c r="P197" s="2"/>
      <c r="Q197" s="2"/>
      <c r="R197" s="2"/>
      <c r="S197" s="2"/>
      <c r="T197" s="2"/>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spans="1:50" x14ac:dyDescent="0.3">
      <c r="A198" s="1"/>
      <c r="B198" s="1"/>
      <c r="C198" s="2"/>
      <c r="D198" s="2"/>
      <c r="E198" s="2"/>
      <c r="F198" s="2"/>
      <c r="G198" s="2"/>
      <c r="H198" s="2"/>
      <c r="I198" s="2"/>
      <c r="J198" s="2"/>
      <c r="K198" s="2"/>
      <c r="L198" s="2"/>
      <c r="M198" s="2"/>
      <c r="N198" s="2"/>
      <c r="O198" s="2"/>
      <c r="P198" s="2"/>
      <c r="Q198" s="2"/>
      <c r="R198" s="2"/>
      <c r="S198" s="2"/>
      <c r="T198" s="2"/>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spans="1:50" x14ac:dyDescent="0.3">
      <c r="A199" s="1"/>
      <c r="B199" s="1"/>
      <c r="C199" s="2"/>
      <c r="D199" s="2"/>
      <c r="E199" s="2"/>
      <c r="F199" s="2"/>
      <c r="G199" s="2"/>
      <c r="H199" s="2"/>
      <c r="I199" s="2"/>
      <c r="J199" s="2"/>
      <c r="K199" s="2"/>
      <c r="L199" s="2"/>
      <c r="M199" s="2"/>
      <c r="N199" s="2"/>
      <c r="O199" s="2"/>
      <c r="P199" s="2"/>
      <c r="Q199" s="2"/>
      <c r="R199" s="2"/>
      <c r="S199" s="2"/>
      <c r="T199" s="2"/>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spans="1:50" x14ac:dyDescent="0.3">
      <c r="A200" s="1"/>
      <c r="B200" s="1"/>
      <c r="C200" s="2"/>
      <c r="D200" s="2"/>
      <c r="E200" s="2"/>
      <c r="F200" s="2"/>
      <c r="G200" s="2"/>
      <c r="H200" s="2"/>
      <c r="I200" s="2"/>
      <c r="J200" s="2"/>
      <c r="K200" s="2"/>
      <c r="L200" s="2"/>
      <c r="M200" s="2"/>
      <c r="N200" s="2"/>
      <c r="O200" s="2"/>
      <c r="P200" s="2"/>
      <c r="Q200" s="2"/>
      <c r="R200" s="2"/>
      <c r="S200" s="2"/>
      <c r="T200" s="2"/>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spans="1:50" x14ac:dyDescent="0.3">
      <c r="A201" s="1"/>
      <c r="B201" s="1"/>
      <c r="C201" s="2"/>
      <c r="D201" s="2"/>
      <c r="E201" s="2"/>
      <c r="F201" s="2"/>
      <c r="G201" s="2"/>
      <c r="H201" s="2"/>
      <c r="I201" s="2"/>
      <c r="J201" s="2"/>
      <c r="K201" s="2"/>
      <c r="L201" s="2"/>
      <c r="M201" s="2"/>
      <c r="N201" s="2"/>
      <c r="O201" s="2"/>
      <c r="P201" s="2"/>
      <c r="Q201" s="2"/>
      <c r="R201" s="2"/>
      <c r="S201" s="2"/>
      <c r="T201" s="2"/>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spans="1:50" x14ac:dyDescent="0.3">
      <c r="A202" s="1"/>
      <c r="B202" s="1"/>
      <c r="C202" s="2"/>
      <c r="D202" s="2"/>
      <c r="E202" s="2"/>
      <c r="F202" s="2"/>
      <c r="G202" s="2"/>
      <c r="H202" s="2"/>
      <c r="I202" s="2"/>
      <c r="J202" s="2"/>
      <c r="K202" s="2"/>
      <c r="L202" s="2"/>
      <c r="M202" s="2"/>
      <c r="N202" s="2"/>
      <c r="O202" s="2"/>
      <c r="P202" s="2"/>
      <c r="Q202" s="2"/>
      <c r="R202" s="2"/>
      <c r="S202" s="2"/>
      <c r="T202" s="2"/>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spans="1:50" x14ac:dyDescent="0.3">
      <c r="A203" s="1"/>
      <c r="B203" s="1"/>
      <c r="C203" s="2"/>
      <c r="D203" s="2"/>
      <c r="E203" s="2"/>
      <c r="F203" s="2"/>
      <c r="G203" s="2"/>
      <c r="H203" s="2"/>
      <c r="I203" s="2"/>
      <c r="J203" s="2"/>
      <c r="K203" s="2"/>
      <c r="L203" s="2"/>
      <c r="M203" s="2"/>
      <c r="N203" s="2"/>
      <c r="O203" s="2"/>
      <c r="P203" s="2"/>
      <c r="Q203" s="2"/>
      <c r="R203" s="2"/>
      <c r="S203" s="2"/>
      <c r="T203" s="2"/>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spans="1:50" x14ac:dyDescent="0.3">
      <c r="A204" s="1"/>
      <c r="B204" s="1"/>
      <c r="C204" s="2"/>
      <c r="D204" s="2"/>
      <c r="E204" s="2"/>
      <c r="F204" s="2"/>
      <c r="G204" s="2"/>
      <c r="H204" s="2"/>
      <c r="I204" s="2"/>
      <c r="J204" s="2"/>
      <c r="K204" s="2"/>
      <c r="L204" s="2"/>
      <c r="M204" s="2"/>
      <c r="N204" s="2"/>
      <c r="O204" s="2"/>
      <c r="P204" s="2"/>
      <c r="Q204" s="2"/>
      <c r="R204" s="2"/>
      <c r="S204" s="2"/>
      <c r="T204" s="2"/>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spans="1:50" x14ac:dyDescent="0.3">
      <c r="A205" s="1"/>
      <c r="B205" s="1"/>
      <c r="C205" s="2"/>
      <c r="D205" s="2"/>
      <c r="E205" s="2"/>
      <c r="F205" s="2"/>
      <c r="G205" s="2"/>
      <c r="H205" s="2"/>
      <c r="I205" s="2"/>
      <c r="J205" s="2"/>
      <c r="K205" s="2"/>
      <c r="L205" s="2"/>
      <c r="M205" s="2"/>
      <c r="N205" s="2"/>
      <c r="O205" s="2"/>
      <c r="P205" s="2"/>
      <c r="Q205" s="2"/>
      <c r="R205" s="2"/>
      <c r="S205" s="2"/>
      <c r="T205" s="2"/>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spans="1:50" x14ac:dyDescent="0.3">
      <c r="A206" s="1"/>
      <c r="B206" s="1"/>
      <c r="C206" s="2"/>
      <c r="D206" s="2"/>
      <c r="E206" s="2"/>
      <c r="F206" s="2"/>
      <c r="G206" s="2"/>
      <c r="H206" s="2"/>
      <c r="I206" s="2"/>
      <c r="J206" s="2"/>
      <c r="K206" s="2"/>
      <c r="L206" s="2"/>
      <c r="M206" s="2"/>
      <c r="N206" s="2"/>
      <c r="O206" s="2"/>
      <c r="P206" s="2"/>
      <c r="Q206" s="2"/>
      <c r="R206" s="2"/>
      <c r="S206" s="2"/>
      <c r="T206" s="2"/>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spans="1:50" x14ac:dyDescent="0.3">
      <c r="A207" s="1"/>
      <c r="B207" s="1"/>
      <c r="C207" s="2"/>
      <c r="D207" s="2"/>
      <c r="E207" s="2"/>
      <c r="F207" s="2"/>
      <c r="G207" s="2"/>
      <c r="H207" s="2"/>
      <c r="I207" s="2"/>
      <c r="J207" s="2"/>
      <c r="K207" s="2"/>
      <c r="L207" s="2"/>
      <c r="M207" s="2"/>
      <c r="N207" s="2"/>
      <c r="O207" s="2"/>
      <c r="P207" s="2"/>
      <c r="Q207" s="2"/>
      <c r="R207" s="2"/>
      <c r="S207" s="2"/>
      <c r="T207" s="2"/>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spans="1:50" x14ac:dyDescent="0.3">
      <c r="A208" s="1"/>
      <c r="B208" s="1"/>
      <c r="C208" s="2"/>
      <c r="D208" s="2"/>
      <c r="E208" s="2"/>
      <c r="F208" s="2"/>
      <c r="G208" s="2"/>
      <c r="H208" s="2"/>
      <c r="I208" s="2"/>
      <c r="J208" s="2"/>
      <c r="K208" s="2"/>
      <c r="L208" s="2"/>
      <c r="M208" s="2"/>
      <c r="N208" s="2"/>
      <c r="O208" s="2"/>
      <c r="P208" s="2"/>
      <c r="Q208" s="2"/>
      <c r="R208" s="2"/>
      <c r="S208" s="2"/>
      <c r="T208" s="2"/>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spans="1:50" x14ac:dyDescent="0.3">
      <c r="A209" s="1"/>
      <c r="B209" s="1"/>
      <c r="C209" s="2"/>
      <c r="D209" s="2"/>
      <c r="E209" s="2"/>
      <c r="F209" s="2"/>
      <c r="G209" s="2"/>
      <c r="H209" s="2"/>
      <c r="I209" s="2"/>
      <c r="J209" s="2"/>
      <c r="K209" s="2"/>
      <c r="L209" s="2"/>
      <c r="M209" s="2"/>
      <c r="N209" s="2"/>
      <c r="O209" s="2"/>
      <c r="P209" s="2"/>
      <c r="Q209" s="2"/>
      <c r="R209" s="2"/>
      <c r="S209" s="2"/>
      <c r="T209" s="2"/>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spans="1:50" x14ac:dyDescent="0.3">
      <c r="A210" s="1"/>
      <c r="B210" s="1"/>
      <c r="C210" s="2"/>
      <c r="D210" s="2"/>
      <c r="E210" s="2"/>
      <c r="F210" s="2"/>
      <c r="G210" s="2"/>
      <c r="H210" s="2"/>
      <c r="I210" s="2"/>
      <c r="J210" s="2"/>
      <c r="K210" s="2"/>
      <c r="L210" s="2"/>
      <c r="M210" s="2"/>
      <c r="N210" s="2"/>
      <c r="O210" s="2"/>
      <c r="P210" s="2"/>
      <c r="Q210" s="2"/>
      <c r="R210" s="2"/>
      <c r="S210" s="2"/>
      <c r="T210" s="2"/>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spans="1:50" x14ac:dyDescent="0.3">
      <c r="A211" s="1"/>
      <c r="B211" s="1"/>
      <c r="C211" s="2"/>
      <c r="D211" s="2"/>
      <c r="E211" s="2"/>
      <c r="F211" s="2"/>
      <c r="G211" s="2"/>
      <c r="H211" s="2"/>
      <c r="I211" s="2"/>
      <c r="J211" s="2"/>
      <c r="K211" s="2"/>
      <c r="L211" s="2"/>
      <c r="M211" s="2"/>
      <c r="N211" s="2"/>
      <c r="O211" s="2"/>
      <c r="P211" s="2"/>
      <c r="Q211" s="2"/>
      <c r="R211" s="2"/>
      <c r="S211" s="2"/>
      <c r="T211" s="2"/>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spans="1:50" x14ac:dyDescent="0.3">
      <c r="A212" s="1"/>
      <c r="B212" s="1"/>
      <c r="C212" s="2"/>
      <c r="D212" s="2"/>
      <c r="E212" s="2"/>
      <c r="F212" s="2"/>
      <c r="G212" s="2"/>
      <c r="H212" s="2"/>
      <c r="I212" s="2"/>
      <c r="J212" s="2"/>
      <c r="K212" s="2"/>
      <c r="L212" s="2"/>
      <c r="M212" s="2"/>
      <c r="N212" s="2"/>
      <c r="O212" s="2"/>
      <c r="P212" s="2"/>
      <c r="Q212" s="2"/>
      <c r="R212" s="2"/>
      <c r="S212" s="2"/>
      <c r="T212" s="2"/>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spans="1:50" x14ac:dyDescent="0.3">
      <c r="A213" s="1"/>
      <c r="B213" s="1"/>
      <c r="C213" s="2"/>
      <c r="D213" s="2"/>
      <c r="E213" s="2"/>
      <c r="F213" s="2"/>
      <c r="G213" s="2"/>
      <c r="H213" s="2"/>
      <c r="I213" s="2"/>
      <c r="J213" s="2"/>
      <c r="K213" s="2"/>
      <c r="L213" s="2"/>
      <c r="M213" s="2"/>
      <c r="N213" s="2"/>
      <c r="O213" s="2"/>
      <c r="P213" s="2"/>
      <c r="Q213" s="2"/>
      <c r="R213" s="2"/>
      <c r="S213" s="2"/>
      <c r="T213" s="2"/>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spans="1:50" x14ac:dyDescent="0.3">
      <c r="A214" s="1"/>
      <c r="B214" s="1"/>
      <c r="C214" s="2"/>
      <c r="D214" s="2"/>
      <c r="E214" s="2"/>
      <c r="F214" s="2"/>
      <c r="G214" s="2"/>
      <c r="H214" s="2"/>
      <c r="I214" s="2"/>
      <c r="J214" s="2"/>
      <c r="K214" s="2"/>
      <c r="L214" s="2"/>
      <c r="M214" s="2"/>
      <c r="N214" s="2"/>
      <c r="O214" s="2"/>
      <c r="P214" s="2"/>
      <c r="Q214" s="2"/>
      <c r="R214" s="2"/>
      <c r="S214" s="2"/>
      <c r="T214" s="2"/>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spans="1:50" x14ac:dyDescent="0.3">
      <c r="A215" s="1"/>
      <c r="B215" s="1"/>
      <c r="C215" s="2"/>
      <c r="D215" s="2"/>
      <c r="E215" s="2"/>
      <c r="F215" s="2"/>
      <c r="G215" s="2"/>
      <c r="H215" s="2"/>
      <c r="I215" s="2"/>
      <c r="J215" s="2"/>
      <c r="K215" s="2"/>
      <c r="L215" s="2"/>
      <c r="M215" s="2"/>
      <c r="N215" s="2"/>
      <c r="O215" s="2"/>
      <c r="P215" s="2"/>
      <c r="Q215" s="2"/>
      <c r="R215" s="2"/>
      <c r="S215" s="2"/>
      <c r="T215" s="2"/>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spans="1:50" x14ac:dyDescent="0.3">
      <c r="A216" s="1"/>
      <c r="B216" s="1"/>
      <c r="C216" s="2"/>
      <c r="D216" s="2"/>
      <c r="E216" s="2"/>
      <c r="F216" s="2"/>
      <c r="G216" s="2"/>
      <c r="H216" s="2"/>
      <c r="I216" s="2"/>
      <c r="J216" s="2"/>
      <c r="K216" s="2"/>
      <c r="L216" s="2"/>
      <c r="M216" s="2"/>
      <c r="N216" s="2"/>
      <c r="O216" s="2"/>
      <c r="P216" s="2"/>
      <c r="Q216" s="2"/>
      <c r="R216" s="2"/>
      <c r="S216" s="2"/>
      <c r="T216" s="2"/>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spans="1:50" x14ac:dyDescent="0.3">
      <c r="A217" s="1"/>
      <c r="B217" s="1"/>
      <c r="C217" s="2"/>
      <c r="D217" s="2"/>
      <c r="E217" s="2"/>
      <c r="F217" s="2"/>
      <c r="G217" s="2"/>
      <c r="H217" s="2"/>
      <c r="I217" s="2"/>
      <c r="J217" s="2"/>
      <c r="K217" s="2"/>
      <c r="L217" s="2"/>
      <c r="M217" s="2"/>
      <c r="N217" s="2"/>
      <c r="O217" s="2"/>
      <c r="P217" s="2"/>
      <c r="Q217" s="2"/>
      <c r="R217" s="2"/>
      <c r="S217" s="2"/>
      <c r="T217" s="2"/>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spans="1:50" x14ac:dyDescent="0.3">
      <c r="A218" s="1"/>
      <c r="B218" s="1"/>
      <c r="C218" s="2"/>
      <c r="D218" s="2"/>
      <c r="E218" s="2"/>
      <c r="F218" s="2"/>
      <c r="G218" s="2"/>
      <c r="H218" s="2"/>
      <c r="I218" s="2"/>
      <c r="J218" s="2"/>
      <c r="K218" s="2"/>
      <c r="L218" s="2"/>
      <c r="M218" s="2"/>
      <c r="N218" s="2"/>
      <c r="O218" s="2"/>
      <c r="P218" s="2"/>
      <c r="Q218" s="2"/>
      <c r="R218" s="2"/>
      <c r="S218" s="2"/>
      <c r="T218" s="2"/>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spans="1:50" x14ac:dyDescent="0.3">
      <c r="A219" s="1"/>
      <c r="B219" s="1"/>
      <c r="C219" s="2"/>
      <c r="D219" s="2"/>
      <c r="E219" s="2"/>
      <c r="F219" s="2"/>
      <c r="G219" s="2"/>
      <c r="H219" s="2"/>
      <c r="I219" s="2"/>
      <c r="J219" s="2"/>
      <c r="K219" s="2"/>
      <c r="L219" s="2"/>
      <c r="M219" s="2"/>
      <c r="N219" s="2"/>
      <c r="O219" s="2"/>
      <c r="P219" s="2"/>
      <c r="Q219" s="2"/>
      <c r="R219" s="2"/>
      <c r="S219" s="2"/>
      <c r="T219" s="2"/>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spans="1:50" x14ac:dyDescent="0.3">
      <c r="A220" s="1"/>
      <c r="B220" s="1"/>
      <c r="C220" s="2"/>
      <c r="D220" s="2"/>
      <c r="E220" s="2"/>
      <c r="F220" s="2"/>
      <c r="G220" s="2"/>
      <c r="H220" s="2"/>
      <c r="I220" s="2"/>
      <c r="J220" s="2"/>
      <c r="K220" s="2"/>
      <c r="L220" s="2"/>
      <c r="M220" s="2"/>
      <c r="N220" s="2"/>
      <c r="O220" s="2"/>
      <c r="P220" s="2"/>
      <c r="Q220" s="2"/>
      <c r="R220" s="2"/>
      <c r="S220" s="2"/>
      <c r="T220" s="2"/>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spans="1:50" x14ac:dyDescent="0.3">
      <c r="A221" s="1"/>
      <c r="B221" s="1"/>
      <c r="C221" s="2"/>
      <c r="D221" s="2"/>
      <c r="E221" s="2"/>
      <c r="F221" s="2"/>
      <c r="G221" s="2"/>
      <c r="H221" s="2"/>
      <c r="I221" s="2"/>
      <c r="J221" s="2"/>
      <c r="K221" s="2"/>
      <c r="L221" s="2"/>
      <c r="M221" s="2"/>
      <c r="N221" s="2"/>
      <c r="O221" s="2"/>
      <c r="P221" s="2"/>
      <c r="Q221" s="2"/>
      <c r="R221" s="2"/>
      <c r="S221" s="2"/>
      <c r="T221" s="2"/>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spans="1:50" x14ac:dyDescent="0.3">
      <c r="A222" s="1"/>
      <c r="B222" s="1"/>
      <c r="C222" s="2"/>
      <c r="D222" s="2"/>
      <c r="E222" s="2"/>
      <c r="F222" s="2"/>
      <c r="G222" s="2"/>
      <c r="H222" s="2"/>
      <c r="I222" s="2"/>
      <c r="J222" s="2"/>
      <c r="K222" s="2"/>
      <c r="L222" s="2"/>
      <c r="M222" s="2"/>
      <c r="N222" s="2"/>
      <c r="O222" s="2"/>
      <c r="P222" s="2"/>
      <c r="Q222" s="2"/>
      <c r="R222" s="2"/>
      <c r="S222" s="2"/>
      <c r="T222" s="2"/>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spans="1:50" x14ac:dyDescent="0.3">
      <c r="A223" s="1"/>
      <c r="B223" s="1"/>
      <c r="C223" s="2"/>
      <c r="D223" s="2"/>
      <c r="E223" s="2"/>
      <c r="F223" s="2"/>
      <c r="G223" s="2"/>
      <c r="H223" s="2"/>
      <c r="I223" s="2"/>
      <c r="J223" s="2"/>
      <c r="K223" s="2"/>
      <c r="L223" s="2"/>
      <c r="M223" s="2"/>
      <c r="N223" s="2"/>
      <c r="O223" s="2"/>
      <c r="P223" s="2"/>
      <c r="Q223" s="2"/>
      <c r="R223" s="2"/>
      <c r="S223" s="2"/>
      <c r="T223" s="2"/>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spans="1:50" x14ac:dyDescent="0.3">
      <c r="A224" s="1"/>
      <c r="B224" s="1"/>
      <c r="C224" s="2"/>
      <c r="D224" s="2"/>
      <c r="E224" s="2"/>
      <c r="F224" s="2"/>
      <c r="G224" s="2"/>
      <c r="H224" s="2"/>
      <c r="I224" s="2"/>
      <c r="J224" s="2"/>
      <c r="K224" s="2"/>
      <c r="L224" s="2"/>
      <c r="M224" s="2"/>
      <c r="N224" s="2"/>
      <c r="O224" s="2"/>
      <c r="P224" s="2"/>
      <c r="Q224" s="2"/>
      <c r="R224" s="2"/>
      <c r="S224" s="2"/>
      <c r="T224" s="2"/>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spans="1:50" x14ac:dyDescent="0.3">
      <c r="A225" s="1"/>
      <c r="B225" s="1"/>
      <c r="C225" s="2"/>
      <c r="D225" s="2"/>
      <c r="E225" s="2"/>
      <c r="F225" s="2"/>
      <c r="G225" s="2"/>
      <c r="H225" s="2"/>
      <c r="I225" s="2"/>
      <c r="J225" s="2"/>
      <c r="K225" s="2"/>
      <c r="L225" s="2"/>
      <c r="M225" s="2"/>
      <c r="N225" s="2"/>
      <c r="O225" s="2"/>
      <c r="P225" s="2"/>
      <c r="Q225" s="2"/>
      <c r="R225" s="2"/>
      <c r="S225" s="2"/>
      <c r="T225" s="2"/>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spans="1:50" x14ac:dyDescent="0.3">
      <c r="A226" s="1"/>
      <c r="B226" s="1"/>
      <c r="C226" s="2"/>
      <c r="D226" s="2"/>
      <c r="E226" s="2"/>
      <c r="F226" s="2"/>
      <c r="G226" s="2"/>
      <c r="H226" s="2"/>
      <c r="I226" s="2"/>
      <c r="J226" s="2"/>
      <c r="K226" s="2"/>
      <c r="L226" s="2"/>
      <c r="M226" s="2"/>
      <c r="N226" s="2"/>
      <c r="O226" s="2"/>
      <c r="P226" s="2"/>
      <c r="Q226" s="2"/>
      <c r="R226" s="2"/>
      <c r="S226" s="2"/>
      <c r="T226" s="2"/>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spans="1:50" x14ac:dyDescent="0.3">
      <c r="A227" s="1"/>
      <c r="B227" s="1"/>
      <c r="C227" s="2"/>
      <c r="D227" s="2"/>
      <c r="E227" s="2"/>
      <c r="F227" s="2"/>
      <c r="G227" s="2"/>
      <c r="H227" s="2"/>
      <c r="I227" s="2"/>
      <c r="J227" s="2"/>
      <c r="K227" s="2"/>
      <c r="L227" s="2"/>
      <c r="M227" s="2"/>
      <c r="N227" s="2"/>
      <c r="O227" s="2"/>
      <c r="P227" s="2"/>
      <c r="Q227" s="2"/>
      <c r="R227" s="2"/>
      <c r="S227" s="2"/>
      <c r="T227" s="2"/>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spans="1:50" x14ac:dyDescent="0.3">
      <c r="A228" s="1"/>
      <c r="B228" s="1"/>
      <c r="C228" s="2"/>
      <c r="D228" s="2"/>
      <c r="E228" s="2"/>
      <c r="F228" s="2"/>
      <c r="G228" s="2"/>
      <c r="H228" s="2"/>
      <c r="I228" s="2"/>
      <c r="J228" s="2"/>
      <c r="K228" s="2"/>
      <c r="L228" s="2"/>
      <c r="M228" s="2"/>
      <c r="N228" s="2"/>
      <c r="O228" s="2"/>
      <c r="P228" s="2"/>
      <c r="Q228" s="2"/>
      <c r="R228" s="2"/>
      <c r="S228" s="2"/>
      <c r="T228" s="2"/>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spans="1:50" x14ac:dyDescent="0.3">
      <c r="A229" s="1"/>
      <c r="B229" s="1"/>
      <c r="C229" s="2"/>
      <c r="D229" s="2"/>
      <c r="E229" s="2"/>
      <c r="F229" s="2"/>
      <c r="G229" s="2"/>
      <c r="H229" s="2"/>
      <c r="I229" s="2"/>
      <c r="J229" s="2"/>
      <c r="K229" s="2"/>
      <c r="L229" s="2"/>
      <c r="M229" s="2"/>
      <c r="N229" s="2"/>
      <c r="O229" s="2"/>
      <c r="P229" s="2"/>
      <c r="Q229" s="2"/>
      <c r="R229" s="2"/>
      <c r="S229" s="2"/>
      <c r="T229" s="2"/>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spans="1:50" x14ac:dyDescent="0.3">
      <c r="A230" s="1"/>
      <c r="B230" s="1"/>
      <c r="C230" s="2"/>
      <c r="D230" s="2"/>
      <c r="E230" s="2"/>
      <c r="F230" s="2"/>
      <c r="G230" s="2"/>
      <c r="H230" s="2"/>
      <c r="I230" s="2"/>
      <c r="J230" s="2"/>
      <c r="K230" s="2"/>
      <c r="L230" s="2"/>
      <c r="M230" s="2"/>
      <c r="N230" s="2"/>
      <c r="O230" s="2"/>
      <c r="P230" s="2"/>
      <c r="Q230" s="2"/>
      <c r="R230" s="2"/>
      <c r="S230" s="2"/>
      <c r="T230" s="2"/>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spans="1:50" x14ac:dyDescent="0.3">
      <c r="A231" s="1"/>
      <c r="B231" s="1"/>
      <c r="C231" s="2"/>
      <c r="D231" s="2"/>
      <c r="E231" s="2"/>
      <c r="F231" s="2"/>
      <c r="G231" s="2"/>
      <c r="H231" s="2"/>
      <c r="I231" s="2"/>
      <c r="J231" s="2"/>
      <c r="K231" s="2"/>
      <c r="L231" s="2"/>
      <c r="M231" s="2"/>
      <c r="N231" s="2"/>
      <c r="O231" s="2"/>
      <c r="P231" s="2"/>
      <c r="Q231" s="2"/>
      <c r="R231" s="2"/>
      <c r="S231" s="2"/>
      <c r="T231" s="2"/>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spans="1:50" x14ac:dyDescent="0.3">
      <c r="A232" s="1"/>
      <c r="B232" s="1"/>
      <c r="C232" s="2"/>
      <c r="D232" s="2"/>
      <c r="E232" s="2"/>
      <c r="F232" s="2"/>
      <c r="G232" s="2"/>
      <c r="H232" s="2"/>
      <c r="I232" s="2"/>
      <c r="J232" s="2"/>
      <c r="K232" s="2"/>
      <c r="L232" s="2"/>
      <c r="M232" s="2"/>
      <c r="N232" s="2"/>
      <c r="O232" s="2"/>
      <c r="P232" s="2"/>
      <c r="Q232" s="2"/>
      <c r="R232" s="2"/>
      <c r="S232" s="2"/>
      <c r="T232" s="2"/>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spans="1:50" x14ac:dyDescent="0.3">
      <c r="A233" s="1"/>
      <c r="B233" s="1"/>
      <c r="C233" s="2"/>
      <c r="D233" s="2"/>
      <c r="E233" s="2"/>
      <c r="F233" s="2"/>
      <c r="G233" s="2"/>
      <c r="H233" s="2"/>
      <c r="I233" s="2"/>
      <c r="J233" s="2"/>
      <c r="K233" s="2"/>
      <c r="L233" s="2"/>
      <c r="M233" s="2"/>
      <c r="N233" s="2"/>
      <c r="O233" s="2"/>
      <c r="P233" s="2"/>
      <c r="Q233" s="2"/>
      <c r="R233" s="2"/>
      <c r="S233" s="2"/>
      <c r="T233" s="2"/>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spans="1:50" x14ac:dyDescent="0.3">
      <c r="A234" s="1"/>
      <c r="B234" s="1"/>
      <c r="C234" s="2"/>
      <c r="D234" s="2"/>
      <c r="E234" s="2"/>
      <c r="F234" s="2"/>
      <c r="G234" s="2"/>
      <c r="H234" s="2"/>
      <c r="I234" s="2"/>
      <c r="J234" s="2"/>
      <c r="K234" s="2"/>
      <c r="L234" s="2"/>
      <c r="M234" s="2"/>
      <c r="N234" s="2"/>
      <c r="O234" s="2"/>
      <c r="P234" s="2"/>
      <c r="Q234" s="2"/>
      <c r="R234" s="2"/>
      <c r="S234" s="2"/>
      <c r="T234" s="2"/>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spans="1:50" x14ac:dyDescent="0.3">
      <c r="A235" s="1"/>
      <c r="B235" s="1"/>
      <c r="C235" s="2"/>
      <c r="D235" s="2"/>
      <c r="E235" s="2"/>
      <c r="F235" s="2"/>
      <c r="G235" s="2"/>
      <c r="H235" s="2"/>
      <c r="I235" s="2"/>
      <c r="J235" s="2"/>
      <c r="K235" s="2"/>
      <c r="L235" s="2"/>
      <c r="M235" s="2"/>
      <c r="N235" s="2"/>
      <c r="O235" s="2"/>
      <c r="P235" s="2"/>
      <c r="Q235" s="2"/>
      <c r="R235" s="2"/>
      <c r="S235" s="2"/>
      <c r="T235" s="2"/>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spans="1:50" x14ac:dyDescent="0.3">
      <c r="A236" s="1"/>
      <c r="B236" s="1"/>
      <c r="C236" s="2"/>
      <c r="D236" s="2"/>
      <c r="E236" s="2"/>
      <c r="F236" s="2"/>
      <c r="G236" s="2"/>
      <c r="H236" s="2"/>
      <c r="I236" s="2"/>
      <c r="J236" s="2"/>
      <c r="K236" s="2"/>
      <c r="L236" s="2"/>
      <c r="M236" s="2"/>
      <c r="N236" s="2"/>
      <c r="O236" s="2"/>
      <c r="P236" s="2"/>
      <c r="Q236" s="2"/>
      <c r="R236" s="2"/>
      <c r="S236" s="2"/>
      <c r="T236" s="2"/>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spans="1:50" x14ac:dyDescent="0.3">
      <c r="A237" s="1"/>
      <c r="B237" s="1"/>
      <c r="C237" s="2"/>
      <c r="D237" s="2"/>
      <c r="E237" s="2"/>
      <c r="F237" s="2"/>
      <c r="G237" s="2"/>
      <c r="H237" s="2"/>
      <c r="I237" s="2"/>
      <c r="J237" s="2"/>
      <c r="K237" s="2"/>
      <c r="L237" s="2"/>
      <c r="M237" s="2"/>
      <c r="N237" s="2"/>
      <c r="O237" s="2"/>
      <c r="P237" s="2"/>
      <c r="Q237" s="2"/>
      <c r="R237" s="2"/>
      <c r="S237" s="2"/>
      <c r="T237" s="2"/>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spans="1:50" x14ac:dyDescent="0.3">
      <c r="A238" s="1"/>
      <c r="B238" s="1"/>
      <c r="C238" s="2"/>
      <c r="D238" s="2"/>
      <c r="E238" s="2"/>
      <c r="F238" s="2"/>
      <c r="G238" s="2"/>
      <c r="H238" s="2"/>
      <c r="I238" s="2"/>
      <c r="J238" s="2"/>
      <c r="K238" s="2"/>
      <c r="L238" s="2"/>
      <c r="M238" s="2"/>
      <c r="N238" s="2"/>
      <c r="O238" s="2"/>
      <c r="P238" s="2"/>
      <c r="Q238" s="2"/>
      <c r="R238" s="2"/>
      <c r="S238" s="2"/>
      <c r="T238" s="2"/>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spans="1:50" x14ac:dyDescent="0.3">
      <c r="A239" s="1"/>
      <c r="B239" s="1"/>
      <c r="C239" s="2"/>
      <c r="D239" s="2"/>
      <c r="E239" s="2"/>
      <c r="F239" s="2"/>
      <c r="G239" s="2"/>
      <c r="H239" s="2"/>
      <c r="I239" s="2"/>
      <c r="J239" s="2"/>
      <c r="K239" s="2"/>
      <c r="L239" s="2"/>
      <c r="M239" s="2"/>
      <c r="N239" s="2"/>
      <c r="O239" s="2"/>
      <c r="P239" s="2"/>
      <c r="Q239" s="2"/>
      <c r="R239" s="2"/>
      <c r="S239" s="2"/>
      <c r="T239" s="2"/>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spans="1:50" x14ac:dyDescent="0.3">
      <c r="A240" s="1"/>
      <c r="B240" s="1"/>
      <c r="C240" s="2"/>
      <c r="D240" s="2"/>
      <c r="E240" s="2"/>
      <c r="F240" s="2"/>
      <c r="G240" s="2"/>
      <c r="H240" s="2"/>
      <c r="I240" s="2"/>
      <c r="J240" s="2"/>
      <c r="K240" s="2"/>
      <c r="L240" s="2"/>
      <c r="M240" s="2"/>
      <c r="N240" s="2"/>
      <c r="O240" s="2"/>
      <c r="P240" s="2"/>
      <c r="Q240" s="2"/>
      <c r="R240" s="2"/>
      <c r="S240" s="2"/>
      <c r="T240" s="2"/>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spans="1:50" x14ac:dyDescent="0.3">
      <c r="A241" s="1"/>
      <c r="B241" s="1"/>
      <c r="C241" s="2"/>
      <c r="D241" s="2"/>
      <c r="E241" s="2"/>
      <c r="F241" s="2"/>
      <c r="G241" s="2"/>
      <c r="H241" s="2"/>
      <c r="I241" s="2"/>
      <c r="J241" s="2"/>
      <c r="K241" s="2"/>
      <c r="L241" s="2"/>
      <c r="M241" s="2"/>
      <c r="N241" s="2"/>
      <c r="O241" s="2"/>
      <c r="P241" s="2"/>
      <c r="Q241" s="2"/>
      <c r="R241" s="2"/>
      <c r="S241" s="2"/>
      <c r="T241" s="2"/>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spans="1:50" x14ac:dyDescent="0.3">
      <c r="A242" s="1"/>
      <c r="B242" s="1"/>
      <c r="C242" s="2"/>
      <c r="D242" s="2"/>
      <c r="E242" s="2"/>
      <c r="F242" s="2"/>
      <c r="G242" s="2"/>
      <c r="H242" s="2"/>
      <c r="I242" s="2"/>
      <c r="J242" s="2"/>
      <c r="K242" s="2"/>
      <c r="L242" s="2"/>
      <c r="M242" s="2"/>
      <c r="N242" s="2"/>
      <c r="O242" s="2"/>
      <c r="P242" s="2"/>
      <c r="Q242" s="2"/>
      <c r="R242" s="2"/>
      <c r="S242" s="2"/>
      <c r="T242" s="2"/>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spans="1:50" x14ac:dyDescent="0.3">
      <c r="A243" s="1"/>
      <c r="B243" s="1"/>
      <c r="C243" s="2"/>
      <c r="D243" s="2"/>
      <c r="E243" s="2"/>
      <c r="F243" s="2"/>
      <c r="G243" s="2"/>
      <c r="H243" s="2"/>
      <c r="I243" s="2"/>
      <c r="J243" s="2"/>
      <c r="K243" s="2"/>
      <c r="L243" s="2"/>
      <c r="M243" s="2"/>
      <c r="N243" s="2"/>
      <c r="O243" s="2"/>
      <c r="P243" s="2"/>
      <c r="Q243" s="2"/>
      <c r="R243" s="2"/>
      <c r="S243" s="2"/>
      <c r="T243" s="2"/>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spans="1:50" x14ac:dyDescent="0.3">
      <c r="A244" s="1"/>
      <c r="B244" s="1"/>
      <c r="C244" s="2"/>
      <c r="D244" s="2"/>
      <c r="E244" s="2"/>
      <c r="F244" s="2"/>
      <c r="G244" s="2"/>
      <c r="H244" s="2"/>
      <c r="I244" s="2"/>
      <c r="J244" s="2"/>
      <c r="K244" s="2"/>
      <c r="L244" s="2"/>
      <c r="M244" s="2"/>
      <c r="N244" s="2"/>
      <c r="O244" s="2"/>
      <c r="P244" s="2"/>
      <c r="Q244" s="2"/>
      <c r="R244" s="2"/>
      <c r="S244" s="2"/>
      <c r="T244" s="2"/>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spans="1:50" x14ac:dyDescent="0.3">
      <c r="A245" s="1"/>
      <c r="B245" s="1"/>
      <c r="C245" s="2"/>
      <c r="D245" s="2"/>
      <c r="E245" s="2"/>
      <c r="F245" s="2"/>
      <c r="G245" s="2"/>
      <c r="H245" s="2"/>
      <c r="I245" s="2"/>
      <c r="J245" s="2"/>
      <c r="K245" s="2"/>
      <c r="L245" s="2"/>
      <c r="M245" s="2"/>
      <c r="N245" s="2"/>
      <c r="O245" s="2"/>
      <c r="P245" s="2"/>
      <c r="Q245" s="2"/>
      <c r="R245" s="2"/>
      <c r="S245" s="2"/>
      <c r="T245" s="2"/>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spans="1:50" x14ac:dyDescent="0.3">
      <c r="A246" s="1"/>
      <c r="B246" s="1"/>
      <c r="C246" s="2"/>
      <c r="D246" s="2"/>
      <c r="E246" s="2"/>
      <c r="F246" s="2"/>
      <c r="G246" s="2"/>
      <c r="H246" s="2"/>
      <c r="I246" s="2"/>
      <c r="J246" s="2"/>
      <c r="K246" s="2"/>
      <c r="L246" s="2"/>
      <c r="M246" s="2"/>
      <c r="N246" s="2"/>
      <c r="O246" s="2"/>
      <c r="P246" s="2"/>
      <c r="Q246" s="2"/>
      <c r="R246" s="2"/>
      <c r="S246" s="2"/>
      <c r="T246" s="2"/>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spans="1:50" x14ac:dyDescent="0.3">
      <c r="A247" s="1"/>
      <c r="B247" s="1"/>
      <c r="C247" s="2"/>
      <c r="D247" s="2"/>
      <c r="E247" s="2"/>
      <c r="F247" s="2"/>
      <c r="G247" s="2"/>
      <c r="H247" s="2"/>
      <c r="I247" s="2"/>
      <c r="J247" s="2"/>
      <c r="K247" s="2"/>
      <c r="L247" s="2"/>
      <c r="M247" s="2"/>
      <c r="N247" s="2"/>
      <c r="O247" s="2"/>
      <c r="P247" s="2"/>
      <c r="Q247" s="2"/>
      <c r="R247" s="2"/>
      <c r="S247" s="2"/>
      <c r="T247" s="2"/>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spans="1:50" x14ac:dyDescent="0.3">
      <c r="A248" s="1"/>
      <c r="B248" s="1"/>
      <c r="C248" s="2"/>
      <c r="D248" s="2"/>
      <c r="E248" s="2"/>
      <c r="F248" s="2"/>
      <c r="G248" s="2"/>
      <c r="H248" s="2"/>
      <c r="I248" s="2"/>
      <c r="J248" s="2"/>
      <c r="K248" s="2"/>
      <c r="L248" s="2"/>
      <c r="M248" s="2"/>
      <c r="N248" s="2"/>
      <c r="O248" s="2"/>
      <c r="P248" s="2"/>
      <c r="Q248" s="2"/>
      <c r="R248" s="2"/>
      <c r="S248" s="2"/>
      <c r="T248" s="2"/>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spans="1:50" x14ac:dyDescent="0.3">
      <c r="A249" s="1"/>
      <c r="B249" s="1"/>
      <c r="C249" s="2"/>
      <c r="D249" s="2"/>
      <c r="E249" s="2"/>
      <c r="F249" s="2"/>
      <c r="G249" s="2"/>
      <c r="H249" s="2"/>
      <c r="I249" s="2"/>
      <c r="J249" s="2"/>
      <c r="K249" s="2"/>
      <c r="L249" s="2"/>
      <c r="M249" s="2"/>
      <c r="N249" s="2"/>
      <c r="O249" s="2"/>
      <c r="P249" s="2"/>
      <c r="Q249" s="2"/>
      <c r="R249" s="2"/>
      <c r="S249" s="2"/>
      <c r="T249" s="2"/>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spans="1:50" x14ac:dyDescent="0.3">
      <c r="A250" s="1"/>
      <c r="B250" s="1"/>
      <c r="C250" s="2"/>
      <c r="D250" s="2"/>
      <c r="E250" s="2"/>
      <c r="F250" s="2"/>
      <c r="G250" s="2"/>
      <c r="H250" s="2"/>
      <c r="I250" s="2"/>
      <c r="J250" s="2"/>
      <c r="K250" s="2"/>
      <c r="L250" s="2"/>
      <c r="M250" s="2"/>
      <c r="N250" s="2"/>
      <c r="O250" s="2"/>
      <c r="P250" s="2"/>
      <c r="Q250" s="2"/>
      <c r="R250" s="2"/>
      <c r="S250" s="2"/>
      <c r="T250" s="2"/>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spans="1:50" x14ac:dyDescent="0.3">
      <c r="A251" s="1"/>
      <c r="B251" s="1"/>
      <c r="C251" s="2"/>
      <c r="D251" s="2"/>
      <c r="E251" s="2"/>
      <c r="F251" s="2"/>
      <c r="G251" s="2"/>
      <c r="H251" s="2"/>
      <c r="I251" s="2"/>
      <c r="J251" s="2"/>
      <c r="K251" s="2"/>
      <c r="L251" s="2"/>
      <c r="M251" s="2"/>
      <c r="N251" s="2"/>
      <c r="O251" s="2"/>
      <c r="P251" s="2"/>
      <c r="Q251" s="2"/>
      <c r="R251" s="2"/>
      <c r="S251" s="2"/>
      <c r="T251" s="2"/>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spans="1:50" x14ac:dyDescent="0.3">
      <c r="A252" s="1"/>
      <c r="B252" s="1"/>
      <c r="C252" s="2"/>
      <c r="D252" s="2"/>
      <c r="E252" s="2"/>
      <c r="F252" s="2"/>
      <c r="G252" s="2"/>
      <c r="H252" s="2"/>
      <c r="I252" s="2"/>
      <c r="J252" s="2"/>
      <c r="K252" s="2"/>
      <c r="L252" s="2"/>
      <c r="M252" s="2"/>
      <c r="N252" s="2"/>
      <c r="O252" s="2"/>
      <c r="P252" s="2"/>
      <c r="Q252" s="2"/>
      <c r="R252" s="2"/>
      <c r="S252" s="2"/>
      <c r="T252" s="2"/>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spans="1:50" x14ac:dyDescent="0.3">
      <c r="A253" s="1"/>
      <c r="B253" s="1"/>
      <c r="C253" s="2"/>
      <c r="D253" s="2"/>
      <c r="E253" s="2"/>
      <c r="F253" s="2"/>
      <c r="G253" s="2"/>
      <c r="H253" s="2"/>
      <c r="I253" s="2"/>
      <c r="J253" s="2"/>
      <c r="K253" s="2"/>
      <c r="L253" s="2"/>
      <c r="M253" s="2"/>
      <c r="N253" s="2"/>
      <c r="O253" s="2"/>
      <c r="P253" s="2"/>
      <c r="Q253" s="2"/>
      <c r="R253" s="2"/>
      <c r="S253" s="2"/>
      <c r="T253" s="2"/>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spans="1:50" x14ac:dyDescent="0.3">
      <c r="A254" s="1"/>
      <c r="B254" s="1"/>
      <c r="C254" s="2"/>
      <c r="D254" s="2"/>
      <c r="E254" s="2"/>
      <c r="F254" s="2"/>
      <c r="G254" s="2"/>
      <c r="H254" s="2"/>
      <c r="I254" s="2"/>
      <c r="J254" s="2"/>
      <c r="K254" s="2"/>
      <c r="L254" s="2"/>
      <c r="M254" s="2"/>
      <c r="N254" s="2"/>
      <c r="O254" s="2"/>
      <c r="P254" s="2"/>
      <c r="Q254" s="2"/>
      <c r="R254" s="2"/>
      <c r="S254" s="2"/>
      <c r="T254" s="2"/>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spans="1:50" x14ac:dyDescent="0.3">
      <c r="A255" s="1"/>
      <c r="B255" s="1"/>
      <c r="C255" s="2"/>
      <c r="D255" s="2"/>
      <c r="E255" s="2"/>
      <c r="F255" s="2"/>
      <c r="G255" s="2"/>
      <c r="H255" s="2"/>
      <c r="I255" s="2"/>
      <c r="J255" s="2"/>
      <c r="K255" s="2"/>
      <c r="L255" s="2"/>
      <c r="M255" s="2"/>
      <c r="N255" s="2"/>
      <c r="O255" s="2"/>
      <c r="P255" s="2"/>
      <c r="Q255" s="2"/>
      <c r="R255" s="2"/>
      <c r="S255" s="2"/>
      <c r="T255" s="2"/>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spans="1:50" x14ac:dyDescent="0.3">
      <c r="A256" s="1"/>
      <c r="B256" s="1"/>
      <c r="C256" s="2"/>
      <c r="D256" s="2"/>
      <c r="E256" s="2"/>
      <c r="F256" s="2"/>
      <c r="G256" s="2"/>
      <c r="H256" s="2"/>
      <c r="I256" s="2"/>
      <c r="J256" s="2"/>
      <c r="K256" s="2"/>
      <c r="L256" s="2"/>
      <c r="M256" s="2"/>
      <c r="N256" s="2"/>
      <c r="O256" s="2"/>
      <c r="P256" s="2"/>
      <c r="Q256" s="2"/>
      <c r="R256" s="2"/>
      <c r="S256" s="2"/>
      <c r="T256" s="2"/>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spans="1:50" x14ac:dyDescent="0.3">
      <c r="A257" s="1"/>
      <c r="C257" s="2"/>
      <c r="D257" s="2"/>
      <c r="E257" s="2"/>
      <c r="F257" s="2"/>
      <c r="G257" s="2"/>
      <c r="H257" s="2"/>
      <c r="I257" s="2"/>
      <c r="J257" s="2"/>
      <c r="K257" s="2"/>
      <c r="L257" s="2"/>
      <c r="M257" s="2"/>
      <c r="N257" s="2"/>
      <c r="O257" s="2"/>
      <c r="P257" s="2"/>
      <c r="Q257" s="2"/>
      <c r="R257" s="2"/>
      <c r="S257" s="2"/>
      <c r="T257" s="2"/>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sheetData>
  <mergeCells count="1">
    <mergeCell ref="C7:J7"/>
  </mergeCells>
  <conditionalFormatting sqref="C9:Q9 R9:R21 C10:J11 C12:Q14 I15:Q15 C16:Q23 R22:S23">
    <cfRule type="cellIs" dxfId="5" priority="3" operator="equal">
      <formula>0</formula>
    </cfRule>
  </conditionalFormatting>
  <conditionalFormatting sqref="E11:G11">
    <cfRule type="cellIs" dxfId="4" priority="57" operator="equal">
      <formula>0</formula>
    </cfRule>
  </conditionalFormatting>
  <conditionalFormatting sqref="Q11">
    <cfRule type="cellIs" dxfId="3" priority="45" operator="equal">
      <formula>0</formula>
    </cfRule>
  </conditionalFormatting>
  <pageMargins left="0.511811024" right="0.511811024" top="0.78740157499999996" bottom="0.78740157499999996" header="0.31496062000000002" footer="0.31496062000000002"/>
  <pageSetup orientation="portrait" r:id="rId1"/>
  <ignoredErrors>
    <ignoredError sqref="K12 M17:P17" formula="1"/>
  </ignoredError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DE874-CD6C-41DC-8648-28D0E93DD56F}">
  <sheetPr codeName="Planilha7"/>
  <dimension ref="A1:AT301"/>
  <sheetViews>
    <sheetView showGridLines="0" zoomScale="70" zoomScaleNormal="70" workbookViewId="0">
      <pane xSplit="2" ySplit="7" topLeftCell="C15" activePane="bottomRight" state="frozen"/>
      <selection pane="topRight" activeCell="C1" sqref="C1"/>
      <selection pane="bottomLeft" activeCell="A8" sqref="A8"/>
      <selection pane="bottomRight"/>
    </sheetView>
  </sheetViews>
  <sheetFormatPr defaultColWidth="12.5546875" defaultRowHeight="14.4" x14ac:dyDescent="0.3"/>
  <cols>
    <col min="1" max="1" width="12.5546875" style="3"/>
    <col min="2" max="2" width="57.5546875" style="3" customWidth="1"/>
    <col min="3" max="10" width="14.5546875" style="8" customWidth="1"/>
    <col min="11" max="16" width="12.5546875" style="8"/>
    <col min="17" max="16384" width="12.5546875" style="3"/>
  </cols>
  <sheetData>
    <row r="1" spans="1:46" ht="18" customHeight="1" x14ac:dyDescent="0.3">
      <c r="A1" s="1"/>
      <c r="B1" s="1"/>
      <c r="C1" s="2"/>
      <c r="D1" s="2"/>
      <c r="E1" s="2"/>
      <c r="F1" s="2"/>
      <c r="G1" s="2"/>
      <c r="H1" s="2"/>
      <c r="I1" s="2"/>
      <c r="J1" s="2"/>
      <c r="K1" s="2"/>
      <c r="L1" s="2"/>
      <c r="M1" s="2"/>
      <c r="N1" s="2"/>
      <c r="O1" s="2"/>
      <c r="P1" s="2"/>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ht="18" customHeight="1" x14ac:dyDescent="0.3">
      <c r="A2" s="1"/>
      <c r="B2" s="1"/>
      <c r="C2" s="2"/>
      <c r="D2" s="2"/>
      <c r="E2" s="2"/>
      <c r="F2" s="2"/>
      <c r="G2" s="2"/>
      <c r="H2" s="2"/>
      <c r="I2" s="2"/>
      <c r="J2" s="2"/>
      <c r="K2" s="2"/>
      <c r="L2" s="2"/>
      <c r="M2" s="2"/>
      <c r="N2" s="2"/>
      <c r="O2" s="2"/>
      <c r="P2" s="2"/>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18" customHeight="1" x14ac:dyDescent="0.3">
      <c r="A3" s="1"/>
      <c r="B3" s="1"/>
      <c r="C3" s="2"/>
      <c r="D3" s="2"/>
      <c r="E3" s="2"/>
      <c r="F3" s="2"/>
      <c r="G3" s="2"/>
      <c r="H3" s="2"/>
      <c r="I3" s="2"/>
      <c r="J3" s="2"/>
      <c r="K3" s="2"/>
      <c r="L3" s="2"/>
      <c r="M3" s="2"/>
      <c r="N3" s="2"/>
      <c r="O3" s="2"/>
      <c r="P3" s="2"/>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18" customHeight="1" x14ac:dyDescent="0.3">
      <c r="A4" s="1"/>
      <c r="B4" s="1"/>
      <c r="C4" s="2"/>
      <c r="D4" s="2"/>
      <c r="E4" s="2"/>
      <c r="F4" s="2"/>
      <c r="G4" s="2"/>
      <c r="H4" s="2"/>
      <c r="I4" s="2"/>
      <c r="J4" s="2"/>
      <c r="K4" s="2"/>
      <c r="L4" s="2"/>
      <c r="M4" s="2"/>
      <c r="N4" s="2"/>
      <c r="O4" s="2"/>
      <c r="P4" s="2"/>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row>
    <row r="5" spans="1:46" ht="18" customHeight="1" x14ac:dyDescent="0.3">
      <c r="A5" s="1"/>
      <c r="B5" s="1"/>
      <c r="C5" s="2"/>
      <c r="D5" s="2"/>
      <c r="E5" s="2"/>
      <c r="F5" s="2"/>
      <c r="G5" s="2"/>
      <c r="H5" s="2"/>
      <c r="I5" s="2"/>
      <c r="J5" s="2"/>
      <c r="K5" s="2"/>
      <c r="L5" s="2"/>
      <c r="M5" s="2"/>
      <c r="N5" s="2"/>
      <c r="O5" s="2"/>
      <c r="P5" s="2"/>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row>
    <row r="6" spans="1:46" ht="18" customHeight="1" x14ac:dyDescent="0.3">
      <c r="A6" s="1"/>
      <c r="B6" s="1"/>
      <c r="C6" s="2"/>
      <c r="D6" s="2"/>
      <c r="E6" s="2"/>
      <c r="F6" s="2"/>
      <c r="G6" s="2"/>
      <c r="H6" s="2"/>
      <c r="I6" s="2"/>
      <c r="J6" s="2"/>
      <c r="K6" s="2"/>
      <c r="L6" s="2"/>
      <c r="M6" s="2"/>
      <c r="N6" s="2"/>
      <c r="O6" s="2"/>
      <c r="P6" s="2"/>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row>
    <row r="7" spans="1:46" ht="18" customHeight="1" thickBot="1" x14ac:dyDescent="0.35">
      <c r="A7" s="1"/>
      <c r="B7" s="1"/>
      <c r="C7" s="16">
        <v>2016</v>
      </c>
      <c r="D7" s="16">
        <v>2017</v>
      </c>
      <c r="E7" s="16">
        <v>2018</v>
      </c>
      <c r="F7" s="16">
        <v>2019</v>
      </c>
      <c r="G7" s="16">
        <v>2020</v>
      </c>
      <c r="H7" s="16">
        <v>2021</v>
      </c>
      <c r="I7" s="16">
        <v>2022</v>
      </c>
      <c r="J7" s="16">
        <v>2023</v>
      </c>
      <c r="K7" s="16">
        <v>2024</v>
      </c>
      <c r="L7" s="16">
        <v>2025</v>
      </c>
      <c r="M7" s="16">
        <v>2026</v>
      </c>
      <c r="N7" s="16">
        <v>2027</v>
      </c>
      <c r="O7" s="16">
        <v>2028</v>
      </c>
      <c r="P7" s="16">
        <v>2029</v>
      </c>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row>
    <row r="8" spans="1:46" ht="18" customHeight="1" x14ac:dyDescent="0.3">
      <c r="A8" s="1"/>
      <c r="B8" s="21" t="s">
        <v>47</v>
      </c>
      <c r="C8" s="28">
        <v>1.4893332639306811</v>
      </c>
      <c r="D8" s="28">
        <v>1.6129372565213131</v>
      </c>
      <c r="E8" s="28">
        <v>1.6617794285781988</v>
      </c>
      <c r="F8" s="28">
        <v>2.0486670678691259</v>
      </c>
      <c r="G8" s="28">
        <v>1.8524116904379457</v>
      </c>
      <c r="H8" s="28">
        <v>1.7548858622491637</v>
      </c>
      <c r="I8" s="28">
        <v>1.6674075081930517</v>
      </c>
      <c r="J8" s="28">
        <v>1.7262104480071987</v>
      </c>
      <c r="K8" s="28">
        <v>1.7594146598331815</v>
      </c>
      <c r="L8" s="28">
        <v>1.9060096653757046</v>
      </c>
      <c r="M8" s="2"/>
      <c r="N8" s="2"/>
      <c r="O8" s="2"/>
      <c r="P8" s="2"/>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row>
    <row r="9" spans="1:46" ht="18" customHeight="1" x14ac:dyDescent="0.3">
      <c r="A9" s="1"/>
      <c r="B9" s="21" t="s">
        <v>48</v>
      </c>
      <c r="C9" s="28">
        <v>1.2280302036922623</v>
      </c>
      <c r="D9" s="28">
        <v>1.0507856470186938</v>
      </c>
      <c r="E9" s="28">
        <v>1.2545621084437861</v>
      </c>
      <c r="F9" s="28">
        <v>1.7129886349943493</v>
      </c>
      <c r="G9" s="28">
        <v>1.5632459050029066</v>
      </c>
      <c r="H9" s="28">
        <v>1.6270262996080835</v>
      </c>
      <c r="I9" s="28">
        <v>1.2917311075184572</v>
      </c>
      <c r="J9" s="28">
        <v>1.4634125609543556</v>
      </c>
      <c r="K9" s="28">
        <v>1.2968935701166047</v>
      </c>
      <c r="L9" s="28">
        <v>1.4632841499524576</v>
      </c>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row>
    <row r="10" spans="1:46" ht="18" customHeight="1" x14ac:dyDescent="0.3">
      <c r="A10" s="1"/>
      <c r="B10" s="21" t="s">
        <v>49</v>
      </c>
      <c r="C10" s="28">
        <v>0.92078316133276916</v>
      </c>
      <c r="D10" s="28">
        <v>0.81378052307258797</v>
      </c>
      <c r="E10" s="28">
        <v>0.97422214451095612</v>
      </c>
      <c r="F10" s="28">
        <v>1.4019132225481803</v>
      </c>
      <c r="G10" s="28">
        <v>1.2785646115331852</v>
      </c>
      <c r="H10" s="28">
        <v>1.2753701261461954</v>
      </c>
      <c r="I10" s="28">
        <v>1.0601834753681723</v>
      </c>
      <c r="J10" s="28">
        <v>1.1750833453311953</v>
      </c>
      <c r="K10" s="28">
        <v>1.0288005626615471</v>
      </c>
      <c r="L10" s="28">
        <v>1.092678780075869</v>
      </c>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row>
    <row r="11" spans="1:46" ht="18" customHeight="1" x14ac:dyDescent="0.3">
      <c r="A11" s="1"/>
      <c r="B11" s="21" t="s">
        <v>50</v>
      </c>
      <c r="C11" s="28">
        <v>0.28040682337298994</v>
      </c>
      <c r="D11" s="28">
        <v>0.21344040971794814</v>
      </c>
      <c r="E11" s="28">
        <v>0.2548506686597321</v>
      </c>
      <c r="F11" s="28">
        <v>0.2553337174778722</v>
      </c>
      <c r="G11" s="28">
        <v>0.6702276624309248</v>
      </c>
      <c r="H11" s="28">
        <v>0.43487663842024304</v>
      </c>
      <c r="I11" s="28">
        <v>0.45732310323770947</v>
      </c>
      <c r="J11" s="28">
        <v>0.44384127503942822</v>
      </c>
      <c r="K11" s="28">
        <v>0.4084217946160687</v>
      </c>
      <c r="L11" s="28">
        <v>0.3348270516189632</v>
      </c>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row>
    <row r="12" spans="1:46" ht="18" customHeight="1" x14ac:dyDescent="0.3">
      <c r="A12" s="1"/>
      <c r="B12" s="21" t="s">
        <v>55</v>
      </c>
      <c r="C12" s="29">
        <v>-0.17097186452204308</v>
      </c>
      <c r="D12" s="29">
        <v>9.6253103536665691E-2</v>
      </c>
      <c r="E12" s="29">
        <v>0.15572190748485032</v>
      </c>
      <c r="F12" s="29">
        <v>0.35479765072620884</v>
      </c>
      <c r="G12" s="29">
        <v>-6.2653307217116164E-2</v>
      </c>
      <c r="H12" s="29">
        <v>0.10985242448353244</v>
      </c>
      <c r="I12" s="29">
        <v>1.6732240160309526E-4</v>
      </c>
      <c r="J12" s="29">
        <v>2.1978720025408924E-3</v>
      </c>
      <c r="K12" s="29">
        <v>0.13676273329808586</v>
      </c>
      <c r="L12" s="29">
        <v>0.10030448420525613</v>
      </c>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row>
    <row r="13" spans="1:46" ht="18" customHeight="1" x14ac:dyDescent="0.3">
      <c r="A13" s="1"/>
      <c r="B13" s="21" t="s">
        <v>182</v>
      </c>
      <c r="C13" s="29">
        <v>-0.2648312475180864</v>
      </c>
      <c r="D13" s="29">
        <v>0.12515668673896888</v>
      </c>
      <c r="E13" s="29">
        <v>0.19947080163658129</v>
      </c>
      <c r="F13" s="29">
        <v>0.39061231684452902</v>
      </c>
      <c r="G13" s="29">
        <v>-0.12610555289972913</v>
      </c>
      <c r="H13" s="29">
        <v>0.15360321278709432</v>
      </c>
      <c r="I13" s="29">
        <v>3.2138159943630179E-4</v>
      </c>
      <c r="J13" s="29">
        <v>3.4495861834645675E-3</v>
      </c>
      <c r="K13" s="29">
        <v>0.22367318058729976</v>
      </c>
      <c r="L13" s="29">
        <v>0.12529887861179803</v>
      </c>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row>
    <row r="14" spans="1:46" ht="18" customHeight="1" x14ac:dyDescent="0.3">
      <c r="A14" s="1"/>
      <c r="B14" s="21" t="s">
        <v>57</v>
      </c>
      <c r="C14" s="29">
        <v>2.5355149759757185E-2</v>
      </c>
      <c r="D14" s="29">
        <v>0.12685239384926977</v>
      </c>
      <c r="E14" s="29">
        <v>0.14217999957015251</v>
      </c>
      <c r="F14" s="29">
        <v>0.26896412354988031</v>
      </c>
      <c r="G14" s="29">
        <v>5.8695061526710654E-2</v>
      </c>
      <c r="H14" s="29">
        <v>0.19984008449856125</v>
      </c>
      <c r="I14" s="29">
        <v>0.1531735347164947</v>
      </c>
      <c r="J14" s="29">
        <v>0.2037165413878449</v>
      </c>
      <c r="K14" s="29">
        <v>0.26111601419603736</v>
      </c>
      <c r="L14" s="29">
        <v>0.2445441659685349</v>
      </c>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row>
    <row r="15" spans="1:46" ht="18" customHeight="1" x14ac:dyDescent="0.3">
      <c r="A15" s="1"/>
      <c r="B15" s="21" t="s">
        <v>598</v>
      </c>
      <c r="C15" s="29">
        <v>2.922393716732459E-2</v>
      </c>
      <c r="D15" s="29">
        <v>0.14365948609745646</v>
      </c>
      <c r="E15" s="29">
        <v>0.16052162966675318</v>
      </c>
      <c r="F15" s="29">
        <v>0.29213460506861277</v>
      </c>
      <c r="G15" s="29">
        <v>9.5419617973590151E-2</v>
      </c>
      <c r="H15" s="29">
        <v>0.2608586523034927</v>
      </c>
      <c r="I15" s="29">
        <v>0.23006850632504525</v>
      </c>
      <c r="J15" s="29">
        <v>0.28398199805866164</v>
      </c>
      <c r="K15" s="29">
        <v>0.37963682789211378</v>
      </c>
      <c r="L15" s="29">
        <v>0.29650641006505313</v>
      </c>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row>
    <row r="16" spans="1:46" ht="18" customHeight="1" x14ac:dyDescent="0.3">
      <c r="A16" s="1"/>
      <c r="B16" s="21" t="s">
        <v>56</v>
      </c>
      <c r="C16" s="29">
        <v>-3.8905302302116432E-2</v>
      </c>
      <c r="D16" s="29">
        <v>2.8541975824757926E-2</v>
      </c>
      <c r="E16" s="29">
        <v>4.9919257392253828E-2</v>
      </c>
      <c r="F16" s="29">
        <v>0.16100350963675888</v>
      </c>
      <c r="G16" s="29">
        <v>-2.2755134413467572E-2</v>
      </c>
      <c r="H16" s="29">
        <v>3.7936491208083921E-2</v>
      </c>
      <c r="I16" s="29">
        <v>5.2130962115329061E-5</v>
      </c>
      <c r="J16" s="29">
        <v>6.7595044606662952E-4</v>
      </c>
      <c r="K16" s="29">
        <v>4.5005212600993653E-2</v>
      </c>
      <c r="L16" s="29">
        <v>3.9902241026124753E-2</v>
      </c>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row>
    <row r="17" spans="1:46" ht="18" customHeight="1" x14ac:dyDescent="0.3">
      <c r="A17" s="1"/>
      <c r="B17" s="21" t="s">
        <v>46</v>
      </c>
      <c r="C17" s="21"/>
      <c r="D17" s="21"/>
      <c r="E17" s="21"/>
      <c r="F17" s="21"/>
      <c r="G17" s="21"/>
      <c r="H17" s="21"/>
      <c r="I17" s="21"/>
      <c r="J17" s="21"/>
      <c r="K17" s="21"/>
      <c r="L17" s="2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row>
    <row r="18" spans="1:46" ht="18" customHeight="1" x14ac:dyDescent="0.3">
      <c r="A18" s="1"/>
      <c r="B18" s="21" t="s">
        <v>504</v>
      </c>
      <c r="C18" s="24">
        <v>194319.00000781007</v>
      </c>
      <c r="D18" s="24">
        <v>494316</v>
      </c>
      <c r="E18" s="24">
        <v>561445</v>
      </c>
      <c r="F18" s="24">
        <v>1534880</v>
      </c>
      <c r="G18" s="24">
        <v>360709</v>
      </c>
      <c r="H18" s="24">
        <v>647439</v>
      </c>
      <c r="I18" s="24">
        <v>910067</v>
      </c>
      <c r="J18" s="24">
        <v>1113348</v>
      </c>
      <c r="K18" s="24">
        <v>1484781.8619639175</v>
      </c>
      <c r="L18" s="24">
        <v>1731637</v>
      </c>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row>
    <row r="19" spans="1:46" ht="18" customHeight="1" x14ac:dyDescent="0.3">
      <c r="A19" s="1"/>
      <c r="B19" s="21" t="s">
        <v>505</v>
      </c>
      <c r="C19" s="24">
        <v>194319.00000781007</v>
      </c>
      <c r="D19" s="24">
        <v>494316</v>
      </c>
      <c r="E19" s="24">
        <v>561445</v>
      </c>
      <c r="F19" s="24">
        <v>817715</v>
      </c>
      <c r="G19" s="24">
        <v>236071</v>
      </c>
      <c r="H19" s="24">
        <v>432679</v>
      </c>
      <c r="I19" s="24">
        <v>716138</v>
      </c>
      <c r="J19" s="24">
        <v>1037125</v>
      </c>
      <c r="K19" s="24">
        <v>1391352.8619639175</v>
      </c>
      <c r="L19" s="24">
        <v>1731637</v>
      </c>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row>
    <row r="20" spans="1:46" ht="18" customHeight="1" x14ac:dyDescent="0.3">
      <c r="A20" s="1"/>
      <c r="B20" s="21" t="s">
        <v>75</v>
      </c>
      <c r="C20" s="24">
        <v>1387912</v>
      </c>
      <c r="D20" s="24">
        <v>982156</v>
      </c>
      <c r="E20" s="24">
        <v>1026873</v>
      </c>
      <c r="F20" s="24">
        <v>1657199</v>
      </c>
      <c r="G20" s="24">
        <v>2900814</v>
      </c>
      <c r="H20" s="24">
        <v>3247990</v>
      </c>
      <c r="I20" s="24">
        <v>3983636</v>
      </c>
      <c r="J20" s="24">
        <v>3997075</v>
      </c>
      <c r="K20" s="24">
        <v>3674932</v>
      </c>
      <c r="L20" s="24">
        <v>3161920</v>
      </c>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row>
    <row r="21" spans="1:46" ht="18" customHeight="1" x14ac:dyDescent="0.3">
      <c r="A21" s="1"/>
      <c r="B21" s="21" t="s">
        <v>58</v>
      </c>
      <c r="C21" s="40">
        <v>0.38222107658786025</v>
      </c>
      <c r="D21" s="40">
        <v>0.28935459133093461</v>
      </c>
      <c r="E21" s="40">
        <v>0.29521952588262723</v>
      </c>
      <c r="F21" s="40">
        <v>0.27450285667337848</v>
      </c>
      <c r="G21" s="40">
        <v>0.39684734433824231</v>
      </c>
      <c r="H21" s="40">
        <v>0.37451055770190023</v>
      </c>
      <c r="I21" s="40">
        <v>0.4136868075642649</v>
      </c>
      <c r="J21" s="40">
        <v>0.41098640541706316</v>
      </c>
      <c r="K21" s="40">
        <v>0.36552306721999095</v>
      </c>
      <c r="L21" s="40">
        <v>0.3393115706992646</v>
      </c>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row>
    <row r="22" spans="1:46" ht="18" customHeight="1" x14ac:dyDescent="0.3">
      <c r="A22" s="1"/>
      <c r="B22" s="21" t="s">
        <v>59</v>
      </c>
      <c r="C22" s="40">
        <v>1.6796952152276203</v>
      </c>
      <c r="D22" s="40">
        <v>0.97580061062301227</v>
      </c>
      <c r="E22" s="40">
        <v>0.92093011993302476</v>
      </c>
      <c r="F22" s="40">
        <v>0.60491208474322611</v>
      </c>
      <c r="G22" s="40">
        <v>1.092667620913063</v>
      </c>
      <c r="H22" s="40">
        <v>1.084467525807101</v>
      </c>
      <c r="I22" s="40">
        <v>1.327791917594717</v>
      </c>
      <c r="J22" s="40">
        <v>1.3363339267654606</v>
      </c>
      <c r="K22" s="40">
        <v>1.1107587514296562</v>
      </c>
      <c r="L22" s="40">
        <v>0.85294638117147403</v>
      </c>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row>
    <row r="23" spans="1:46" ht="18" customHeight="1" x14ac:dyDescent="0.3">
      <c r="A23" s="1"/>
      <c r="B23" s="21" t="s">
        <v>60</v>
      </c>
      <c r="C23" s="40">
        <v>0.62682323186704003</v>
      </c>
      <c r="D23" s="40">
        <v>0.49387605478840368</v>
      </c>
      <c r="E23" s="40">
        <v>0.47941885567661041</v>
      </c>
      <c r="F23" s="40">
        <v>0.37691291036668062</v>
      </c>
      <c r="G23" s="40">
        <v>0.5221410270763952</v>
      </c>
      <c r="H23" s="40">
        <v>0.52026117575863784</v>
      </c>
      <c r="I23" s="40">
        <v>0.57040833742850627</v>
      </c>
      <c r="J23" s="40">
        <v>0.57197899300959476</v>
      </c>
      <c r="K23" s="40">
        <v>0.52623671496200997</v>
      </c>
      <c r="L23" s="40">
        <v>0.46031897622003631</v>
      </c>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row>
    <row r="24" spans="1:46" ht="18" customHeight="1" x14ac:dyDescent="0.3">
      <c r="A24" s="1"/>
      <c r="B24" s="21" t="s">
        <v>484</v>
      </c>
      <c r="C24" s="24">
        <v>898207</v>
      </c>
      <c r="D24" s="24">
        <v>550397</v>
      </c>
      <c r="E24" s="24">
        <v>580867</v>
      </c>
      <c r="F24" s="24">
        <v>1210090</v>
      </c>
      <c r="G24" s="24">
        <v>1391655</v>
      </c>
      <c r="H24" s="24">
        <v>2197739</v>
      </c>
      <c r="I24" s="24">
        <v>2300810</v>
      </c>
      <c r="J24" s="24">
        <v>2649900</v>
      </c>
      <c r="K24" s="24">
        <v>2102397</v>
      </c>
      <c r="L24" s="24">
        <v>2118545</v>
      </c>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row>
    <row r="25" spans="1:46" ht="18" customHeight="1" collapsed="1" x14ac:dyDescent="0.3">
      <c r="A25" s="1"/>
      <c r="B25" s="21" t="s">
        <v>485</v>
      </c>
      <c r="C25" s="40">
        <v>201754.09518123794</v>
      </c>
      <c r="D25" s="40">
        <v>197617.85506235255</v>
      </c>
      <c r="E25" s="40">
        <v>205225.63063659918</v>
      </c>
      <c r="F25" s="40">
        <v>501799.83038057224</v>
      </c>
      <c r="G25" s="40">
        <v>524942.18251775857</v>
      </c>
      <c r="H25" s="40">
        <v>554622.98013315629</v>
      </c>
      <c r="I25" s="40">
        <v>641917.98692273512</v>
      </c>
      <c r="J25" s="40">
        <v>714671.21771247464</v>
      </c>
      <c r="K25" s="40">
        <v>675539.93706400169</v>
      </c>
      <c r="L25" s="40">
        <v>687090.02819111408</v>
      </c>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row>
    <row r="26" spans="1:46" ht="18" customHeight="1" x14ac:dyDescent="0.3">
      <c r="A26" s="1"/>
      <c r="B26" s="21" t="s">
        <v>486</v>
      </c>
      <c r="C26" s="40">
        <v>-1.0613157832001788E-2</v>
      </c>
      <c r="D26" s="40">
        <v>0.91742268232500324</v>
      </c>
      <c r="E26" s="40">
        <v>1.1242220539039323</v>
      </c>
      <c r="F26" s="40">
        <v>1.2520122538431968</v>
      </c>
      <c r="G26" s="40">
        <v>-1.2794578793515812</v>
      </c>
      <c r="H26" s="40">
        <v>-0.4550888819236108</v>
      </c>
      <c r="I26" s="40">
        <v>0.12347610914974748</v>
      </c>
      <c r="J26" s="40">
        <v>0.50663654246193102</v>
      </c>
      <c r="K26" s="40">
        <v>1.2595185183898605</v>
      </c>
      <c r="L26" s="40">
        <v>1.8202696556375175</v>
      </c>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row>
    <row r="27" spans="1:46" ht="18" customHeight="1" x14ac:dyDescent="0.3">
      <c r="A27" s="1"/>
      <c r="B27" s="21" t="s">
        <v>487</v>
      </c>
      <c r="C27" s="40">
        <v>0.49367903136713615</v>
      </c>
      <c r="D27" s="40">
        <v>1.8414067766213367</v>
      </c>
      <c r="E27" s="40">
        <v>1.1315281196743041</v>
      </c>
      <c r="F27" s="40">
        <v>3.3761002500703445</v>
      </c>
      <c r="G27" s="40">
        <v>2.7111480201966516</v>
      </c>
      <c r="H27" s="40">
        <v>1.7832131822863029</v>
      </c>
      <c r="I27" s="40">
        <v>1.8132434450451409</v>
      </c>
      <c r="J27" s="40">
        <v>1.5086994639232272</v>
      </c>
      <c r="K27" s="40">
        <v>2.4711826190364974</v>
      </c>
      <c r="L27" s="40">
        <v>1.2668639331663887</v>
      </c>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row>
    <row r="28" spans="1:46" ht="18" customHeight="1" x14ac:dyDescent="0.3">
      <c r="A28" s="1"/>
      <c r="B28" s="21" t="s">
        <v>65</v>
      </c>
      <c r="C28" s="29">
        <v>-0.51282646162004508</v>
      </c>
      <c r="D28" s="29">
        <v>-0.32928170270303292</v>
      </c>
      <c r="E28" s="29">
        <v>-0.30856785600556252</v>
      </c>
      <c r="F28" s="29">
        <v>-0.15226234145687995</v>
      </c>
      <c r="G28" s="29">
        <v>-7.7833325404524381E-2</v>
      </c>
      <c r="H28" s="29">
        <v>-8.2511337781212377E-2</v>
      </c>
      <c r="I28" s="29">
        <v>-0.15095229584229081</v>
      </c>
      <c r="J28" s="29">
        <v>-0.15923544091616995</v>
      </c>
      <c r="K28" s="29">
        <v>-0.15464912003813949</v>
      </c>
      <c r="L28" s="29">
        <v>-0.18148561633437912</v>
      </c>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row>
    <row r="29" spans="1:46" ht="18" customHeight="1" x14ac:dyDescent="0.3">
      <c r="A29" s="1"/>
      <c r="B29" s="21" t="s">
        <v>513</v>
      </c>
      <c r="C29" s="29">
        <v>-0.33846546466922972</v>
      </c>
      <c r="D29" s="29">
        <v>-0.2173259237840017</v>
      </c>
      <c r="E29" s="29">
        <v>-0.20365478496367123</v>
      </c>
      <c r="F29" s="29">
        <v>-0.10049314536154075</v>
      </c>
      <c r="G29" s="29">
        <v>-5.1369994766986088E-2</v>
      </c>
      <c r="H29" s="29">
        <v>-5.4457482935600161E-2</v>
      </c>
      <c r="I29" s="29">
        <v>-9.9628515255911917E-2</v>
      </c>
      <c r="J29" s="29">
        <v>-0.10509539100467216</v>
      </c>
      <c r="K29" s="29">
        <v>-0.10206841922517206</v>
      </c>
      <c r="L29" s="29">
        <v>-0.1197805067806902</v>
      </c>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row>
    <row r="30" spans="1:46" ht="18" customHeight="1" x14ac:dyDescent="0.3">
      <c r="A30" s="1"/>
      <c r="B30" s="21" t="s">
        <v>512</v>
      </c>
      <c r="C30" s="29">
        <v>8.7530247802248287E-2</v>
      </c>
      <c r="D30" s="29">
        <v>1.7616309098362745E-2</v>
      </c>
      <c r="E30" s="29">
        <v>3.2149791706838023E-2</v>
      </c>
      <c r="F30" s="29">
        <v>4.3486040316790757E-2</v>
      </c>
      <c r="G30" s="29">
        <v>1.6179872365999871E-2</v>
      </c>
      <c r="H30" s="29">
        <v>0.12033409156477833</v>
      </c>
      <c r="I30" s="29">
        <v>0.10021356931732693</v>
      </c>
      <c r="J30" s="29">
        <v>6.0885185666301703E-2</v>
      </c>
      <c r="K30" s="29">
        <v>5.368910707869777E-2</v>
      </c>
      <c r="L30" s="29">
        <v>0.11847514076913861</v>
      </c>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row>
    <row r="31" spans="1:46" ht="18" customHeight="1" x14ac:dyDescent="0.3">
      <c r="A31" s="1"/>
      <c r="B31" s="21" t="s">
        <v>183</v>
      </c>
      <c r="C31" s="153" t="s">
        <v>552</v>
      </c>
      <c r="D31" s="153" t="s">
        <v>552</v>
      </c>
      <c r="E31" s="67">
        <v>63.525397586603745</v>
      </c>
      <c r="F31" s="67">
        <v>61.436224118764443</v>
      </c>
      <c r="G31" s="67">
        <v>73.698926220990643</v>
      </c>
      <c r="H31" s="67">
        <v>62.43341294428707</v>
      </c>
      <c r="I31" s="67">
        <v>58.315568286103343</v>
      </c>
      <c r="J31" s="67">
        <v>74.316221527070837</v>
      </c>
      <c r="K31" s="67">
        <v>68.063410749773382</v>
      </c>
      <c r="L31" s="153" t="s">
        <v>552</v>
      </c>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row>
    <row r="32" spans="1:46" ht="18" customHeight="1" x14ac:dyDescent="0.3">
      <c r="A32" s="1"/>
      <c r="B32" s="21" t="s">
        <v>184</v>
      </c>
      <c r="C32" s="67">
        <v>70.555293574306447</v>
      </c>
      <c r="D32" s="67">
        <v>66.941532123094703</v>
      </c>
      <c r="E32" s="67">
        <v>69.141357181219405</v>
      </c>
      <c r="F32" s="67">
        <v>73.175174314931738</v>
      </c>
      <c r="G32" s="67">
        <v>106.89235807331582</v>
      </c>
      <c r="H32" s="67">
        <v>112.47996024524865</v>
      </c>
      <c r="I32" s="67">
        <v>101.05540447404191</v>
      </c>
      <c r="J32" s="67">
        <v>99.914507097013527</v>
      </c>
      <c r="K32" s="67">
        <v>108.89236467368214</v>
      </c>
      <c r="L32" s="67">
        <v>118.72295523280933</v>
      </c>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row>
    <row r="33" spans="1:46" ht="18" customHeight="1" x14ac:dyDescent="0.3">
      <c r="A33" s="1"/>
      <c r="B33" s="21" t="s">
        <v>185</v>
      </c>
      <c r="C33" s="67">
        <v>56.772118503175165</v>
      </c>
      <c r="D33" s="67">
        <v>66.152188120830758</v>
      </c>
      <c r="E33" s="67">
        <v>64.566774050286298</v>
      </c>
      <c r="F33" s="67">
        <v>90.7621065110594</v>
      </c>
      <c r="G33" s="67">
        <v>126.90413412668731</v>
      </c>
      <c r="H33" s="67">
        <v>126.06406768571648</v>
      </c>
      <c r="I33" s="67">
        <v>142.81557843269809</v>
      </c>
      <c r="J33" s="67">
        <v>120.91092280388993</v>
      </c>
      <c r="K33" s="67">
        <v>149.46557219344001</v>
      </c>
      <c r="L33" s="67">
        <v>119.09062260600599</v>
      </c>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row>
    <row r="34" spans="1:46" ht="18" customHeight="1" x14ac:dyDescent="0.3">
      <c r="A34" s="1"/>
      <c r="B34" s="21" t="s">
        <v>51</v>
      </c>
      <c r="C34" s="67">
        <v>0</v>
      </c>
      <c r="D34" s="67">
        <v>0</v>
      </c>
      <c r="E34" s="67">
        <v>68.099980717536837</v>
      </c>
      <c r="F34" s="67">
        <v>43.849291922636795</v>
      </c>
      <c r="G34" s="67">
        <v>53.687150167619151</v>
      </c>
      <c r="H34" s="67">
        <v>48.849305503819238</v>
      </c>
      <c r="I34" s="67">
        <v>16.555394327447175</v>
      </c>
      <c r="J34" s="67">
        <v>53.319805820194418</v>
      </c>
      <c r="K34" s="67">
        <v>27.49020323001551</v>
      </c>
      <c r="L34" s="67">
        <v>0</v>
      </c>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row>
    <row r="35" spans="1:46" ht="18" customHeight="1" x14ac:dyDescent="0.3">
      <c r="A35" s="1"/>
      <c r="B35" s="21" t="s">
        <v>508</v>
      </c>
      <c r="C35" s="24">
        <v>1795235.375</v>
      </c>
      <c r="D35" s="24">
        <v>1818362.2083333333</v>
      </c>
      <c r="E35" s="24">
        <v>1907370.6666666667</v>
      </c>
      <c r="F35" s="24">
        <v>1912960.6666666667</v>
      </c>
      <c r="G35" s="24">
        <v>1901067.9583333333</v>
      </c>
      <c r="H35" s="24">
        <v>2226565.5</v>
      </c>
      <c r="I35" s="24">
        <v>2415147.041666667</v>
      </c>
      <c r="J35" s="24">
        <v>2968570.166666667</v>
      </c>
      <c r="K35" s="24">
        <v>3237492.9840471419</v>
      </c>
      <c r="L35" s="24">
        <v>3250808.1414845195</v>
      </c>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row>
    <row r="36" spans="1:46" ht="18" customHeight="1" x14ac:dyDescent="0.3">
      <c r="A36" s="1"/>
      <c r="B36" s="21" t="s">
        <v>509</v>
      </c>
      <c r="C36" s="24">
        <v>1051208</v>
      </c>
      <c r="D36" s="24">
        <v>1042547</v>
      </c>
      <c r="E36" s="24">
        <v>1038263</v>
      </c>
      <c r="F36" s="24">
        <v>1178833</v>
      </c>
      <c r="G36" s="24">
        <v>1435741</v>
      </c>
      <c r="H36" s="24">
        <v>1763137</v>
      </c>
      <c r="I36" s="24">
        <v>2376886</v>
      </c>
      <c r="J36" s="24">
        <v>2186370</v>
      </c>
      <c r="K36" s="24">
        <v>2330500</v>
      </c>
      <c r="L36" s="24">
        <v>2463843</v>
      </c>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row>
    <row r="37" spans="1:46" ht="18" customHeight="1" x14ac:dyDescent="0.3">
      <c r="A37" s="1"/>
      <c r="B37" s="21" t="s">
        <v>70</v>
      </c>
      <c r="C37" s="24">
        <v>744027.375</v>
      </c>
      <c r="D37" s="24">
        <v>775815.20833333326</v>
      </c>
      <c r="E37" s="24">
        <v>869107.66666666674</v>
      </c>
      <c r="F37" s="24">
        <v>734127.66666666674</v>
      </c>
      <c r="G37" s="24">
        <v>465326.95833333326</v>
      </c>
      <c r="H37" s="24">
        <v>463428.5</v>
      </c>
      <c r="I37" s="24">
        <v>38261.041666666977</v>
      </c>
      <c r="J37" s="24">
        <v>782200.16666666698</v>
      </c>
      <c r="K37" s="24">
        <v>906992.98404714186</v>
      </c>
      <c r="L37" s="24">
        <v>786965.14148451947</v>
      </c>
      <c r="M37" s="24">
        <v>1040423.0889903504</v>
      </c>
      <c r="N37" s="24">
        <v>1107322.694358598</v>
      </c>
      <c r="O37" s="24">
        <v>1181086.4893122246</v>
      </c>
      <c r="P37" s="24">
        <v>1260154.6845751882</v>
      </c>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row>
    <row r="38" spans="1:46" ht="18" customHeight="1" x14ac:dyDescent="0.3">
      <c r="A38" s="1"/>
      <c r="B38" s="21" t="s">
        <v>553</v>
      </c>
      <c r="C38" s="38">
        <v>0.15563166665760242</v>
      </c>
      <c r="D38" s="38">
        <v>0.15406578514486494</v>
      </c>
      <c r="E38" s="38">
        <v>0.16911624584834403</v>
      </c>
      <c r="F38" s="38">
        <v>0.13890311105258266</v>
      </c>
      <c r="G38" s="38">
        <v>0.11389757750567087</v>
      </c>
      <c r="H38" s="38">
        <v>8.993013281440719E-2</v>
      </c>
      <c r="I38" s="38">
        <v>6.1875517266158191E-3</v>
      </c>
      <c r="J38" s="38">
        <v>0.1164106659451648</v>
      </c>
      <c r="K38" s="38">
        <v>0.11819937344632213</v>
      </c>
      <c r="L38" s="38">
        <v>9.8580694239392169E-2</v>
      </c>
      <c r="M38" s="44">
        <v>0.12830391696159457</v>
      </c>
      <c r="N38" s="44">
        <v>0.12830391696159457</v>
      </c>
      <c r="O38" s="44">
        <v>0.12830391696159457</v>
      </c>
      <c r="P38" s="44">
        <v>0.12830391696159457</v>
      </c>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row>
    <row r="39" spans="1:46" ht="18" customHeight="1" x14ac:dyDescent="0.3">
      <c r="A39" s="1"/>
      <c r="B39" s="21" t="s">
        <v>518</v>
      </c>
      <c r="C39" s="38"/>
      <c r="D39" s="38"/>
      <c r="E39" s="38"/>
      <c r="F39" s="38"/>
      <c r="G39" s="38"/>
      <c r="H39" s="38"/>
      <c r="I39" s="38"/>
      <c r="J39" s="38"/>
      <c r="K39" s="38"/>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row>
    <row r="40" spans="1:46" ht="18" customHeight="1" x14ac:dyDescent="0.3">
      <c r="A40" s="1"/>
      <c r="B40" s="21" t="s">
        <v>54</v>
      </c>
      <c r="C40" s="24"/>
      <c r="D40" s="24"/>
      <c r="E40" s="24"/>
      <c r="F40" s="24"/>
      <c r="G40" s="24"/>
      <c r="H40" s="24"/>
      <c r="I40" s="25"/>
      <c r="J40" s="25"/>
      <c r="K40" s="25"/>
      <c r="L40" s="44"/>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row>
    <row r="41" spans="1:46" ht="18" customHeight="1" x14ac:dyDescent="0.3">
      <c r="A41" s="1"/>
      <c r="B41" s="21" t="s">
        <v>52</v>
      </c>
      <c r="C41" s="38"/>
      <c r="D41" s="38"/>
      <c r="E41" s="38"/>
      <c r="F41" s="38"/>
      <c r="G41" s="38"/>
      <c r="H41" s="38"/>
      <c r="I41" s="38"/>
      <c r="J41" s="38"/>
      <c r="K41" s="38"/>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row>
    <row r="42" spans="1:46" ht="18" customHeight="1" x14ac:dyDescent="0.3">
      <c r="A42" s="1"/>
      <c r="B42" s="21" t="s">
        <v>53</v>
      </c>
      <c r="C42" s="38"/>
      <c r="D42" s="38"/>
      <c r="E42" s="38"/>
      <c r="F42" s="38"/>
      <c r="G42" s="38"/>
      <c r="H42" s="38"/>
      <c r="I42" s="38"/>
      <c r="J42" s="38"/>
      <c r="K42" s="38"/>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row>
    <row r="43" spans="1:46" ht="18" customHeight="1" x14ac:dyDescent="0.3">
      <c r="A43" s="1"/>
      <c r="B43" s="2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row>
    <row r="44" spans="1:46" ht="18" customHeight="1" x14ac:dyDescent="0.3">
      <c r="A44" s="1"/>
      <c r="B44" s="2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row>
    <row r="45" spans="1:46" ht="18" customHeight="1" x14ac:dyDescent="0.3">
      <c r="A45" s="1"/>
      <c r="B45" s="2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row>
    <row r="46" spans="1:46" ht="18" customHeight="1" thickBot="1" x14ac:dyDescent="0.35">
      <c r="A46" s="1"/>
      <c r="B46" s="21"/>
      <c r="C46" s="16">
        <v>2016</v>
      </c>
      <c r="D46" s="16">
        <v>2017</v>
      </c>
      <c r="E46" s="16">
        <v>2018</v>
      </c>
      <c r="F46" s="16">
        <v>2019</v>
      </c>
      <c r="G46" s="16">
        <v>2020</v>
      </c>
      <c r="H46" s="16">
        <v>2021</v>
      </c>
      <c r="I46" s="16">
        <v>2022</v>
      </c>
      <c r="J46" s="16">
        <v>2023</v>
      </c>
      <c r="K46" s="16">
        <v>2024</v>
      </c>
      <c r="L46" s="45">
        <v>2025</v>
      </c>
      <c r="M46" s="45">
        <v>2026</v>
      </c>
      <c r="N46" s="45">
        <v>2027</v>
      </c>
      <c r="O46" s="45">
        <v>2028</v>
      </c>
      <c r="P46" s="45">
        <v>2029</v>
      </c>
      <c r="Q46" s="45">
        <v>2030</v>
      </c>
      <c r="R46" s="45">
        <v>2031</v>
      </c>
      <c r="S46" s="45">
        <v>2032</v>
      </c>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row>
    <row r="47" spans="1:46" ht="18" customHeight="1" x14ac:dyDescent="0.3">
      <c r="A47" s="1"/>
      <c r="B47" s="21" t="s">
        <v>515</v>
      </c>
      <c r="C47" s="69">
        <v>6.2879882132213849E-2</v>
      </c>
      <c r="D47" s="69">
        <v>2.9474213204347066E-2</v>
      </c>
      <c r="E47" s="69">
        <v>3.7455811701915476E-2</v>
      </c>
      <c r="F47" s="69">
        <v>4.3061516171595302E-2</v>
      </c>
      <c r="G47" s="69">
        <v>4.517456886424509E-2</v>
      </c>
      <c r="H47" s="69">
        <v>0.10060982737443336</v>
      </c>
      <c r="I47" s="38">
        <v>9.7430000000000003E-2</v>
      </c>
      <c r="J47" s="69">
        <v>4.5999999999999999E-2</v>
      </c>
      <c r="K47" s="69">
        <v>5.0500000000000003E-2</v>
      </c>
      <c r="L47" s="69">
        <v>4.2799999999999998E-2</v>
      </c>
      <c r="M47" s="69">
        <v>4.4499999999999998E-2</v>
      </c>
      <c r="N47" s="69">
        <v>4.0899999999999999E-2</v>
      </c>
      <c r="O47" s="69">
        <v>4.3400000000000001E-2</v>
      </c>
      <c r="P47" s="69">
        <v>4.6399999999999997E-2</v>
      </c>
      <c r="Q47" s="69">
        <v>4.9099999999999998E-2</v>
      </c>
      <c r="R47" s="69">
        <v>5.1799999999999999E-2</v>
      </c>
      <c r="S47" s="69">
        <v>5.4100000000000002E-2</v>
      </c>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row>
    <row r="48" spans="1:46" ht="18" customHeight="1" x14ac:dyDescent="0.3">
      <c r="A48" s="1"/>
      <c r="B48" s="21" t="s">
        <v>516</v>
      </c>
      <c r="C48" s="38">
        <v>-3.2759999999999997E-2</v>
      </c>
      <c r="D48" s="38">
        <v>1.3229999999999999E-2</v>
      </c>
      <c r="E48" s="38">
        <v>1.7840000000000002E-2</v>
      </c>
      <c r="F48" s="38">
        <v>1.221E-2</v>
      </c>
      <c r="G48" s="38">
        <v>-3.8789999999999998E-2</v>
      </c>
      <c r="H48" s="38">
        <v>4.6189999999999995E-2</v>
      </c>
      <c r="I48" s="38">
        <v>2.7879999999999999E-2</v>
      </c>
      <c r="J48" s="38">
        <v>2.9000000000000001E-2</v>
      </c>
      <c r="K48" s="38">
        <v>0.02</v>
      </c>
      <c r="L48" s="38">
        <v>0.02</v>
      </c>
      <c r="M48" s="38">
        <v>0.02</v>
      </c>
      <c r="N48" s="38">
        <v>0.02</v>
      </c>
      <c r="O48" s="38">
        <v>0.02</v>
      </c>
      <c r="P48" s="38">
        <v>0.02</v>
      </c>
      <c r="Q48" s="38">
        <v>0.02</v>
      </c>
      <c r="R48" s="38">
        <v>0.02</v>
      </c>
      <c r="S48" s="38">
        <v>0.02</v>
      </c>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row>
    <row r="49" spans="1:46" ht="18" customHeight="1" x14ac:dyDescent="0.3">
      <c r="A49" s="1"/>
      <c r="B49" s="21" t="s">
        <v>939</v>
      </c>
      <c r="C49" s="1"/>
      <c r="D49" s="1"/>
      <c r="E49" s="1"/>
      <c r="F49" s="1"/>
      <c r="G49" s="1"/>
      <c r="H49" s="1"/>
      <c r="I49" s="1"/>
      <c r="J49" s="1"/>
      <c r="K49" s="1"/>
      <c r="L49" s="69">
        <v>7.5700000000000003E-2</v>
      </c>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row>
    <row r="50" spans="1:46" ht="18" customHeight="1" collapsed="1" x14ac:dyDescent="0.3">
      <c r="A50" s="1"/>
      <c r="B50" s="21"/>
      <c r="C50" s="1"/>
      <c r="D50" s="1"/>
      <c r="E50" s="1"/>
      <c r="F50" s="1"/>
      <c r="G50" s="1"/>
      <c r="H50" s="1"/>
      <c r="I50" s="1"/>
      <c r="J50" s="1"/>
      <c r="K50" s="6"/>
      <c r="L50" s="7"/>
      <c r="M50" s="7"/>
      <c r="N50" s="7"/>
      <c r="O50" s="4"/>
      <c r="P50" s="4"/>
      <c r="Q50" s="1"/>
      <c r="R50" s="1"/>
      <c r="S50" s="5"/>
      <c r="T50" s="5"/>
      <c r="U50" s="5"/>
      <c r="V50" s="1"/>
      <c r="W50" s="1"/>
      <c r="X50" s="1"/>
      <c r="Y50" s="1"/>
      <c r="Z50" s="1"/>
      <c r="AA50" s="1"/>
      <c r="AB50" s="1"/>
      <c r="AC50" s="1"/>
      <c r="AD50" s="1"/>
      <c r="AE50" s="1"/>
      <c r="AF50" s="1"/>
      <c r="AG50" s="1"/>
      <c r="AH50" s="1"/>
      <c r="AI50" s="1"/>
      <c r="AJ50" s="1"/>
      <c r="AK50" s="1"/>
      <c r="AL50" s="1"/>
      <c r="AM50" s="1"/>
      <c r="AN50" s="1"/>
      <c r="AO50" s="1"/>
      <c r="AP50" s="1"/>
      <c r="AQ50" s="1"/>
      <c r="AR50" s="1"/>
      <c r="AS50" s="1"/>
      <c r="AT50" s="1"/>
    </row>
    <row r="51" spans="1:46" ht="18" customHeight="1" x14ac:dyDescent="0.3">
      <c r="A51" s="1"/>
      <c r="B51" s="1"/>
      <c r="C51" s="1"/>
      <c r="D51" s="1"/>
      <c r="E51" s="1"/>
      <c r="F51" s="1"/>
      <c r="G51" s="1"/>
      <c r="H51" s="1"/>
      <c r="I51" s="1"/>
      <c r="J51" s="1"/>
      <c r="K51" s="6"/>
      <c r="L51" s="7"/>
      <c r="M51" s="7"/>
      <c r="N51" s="7"/>
      <c r="O51" s="4"/>
      <c r="P51" s="4"/>
      <c r="Q51" s="1"/>
      <c r="R51" s="1"/>
      <c r="S51" s="5"/>
      <c r="T51" s="5"/>
      <c r="U51" s="5"/>
      <c r="V51" s="1"/>
      <c r="W51" s="1"/>
      <c r="X51" s="1"/>
      <c r="Y51" s="1"/>
      <c r="Z51" s="1"/>
      <c r="AA51" s="1"/>
      <c r="AB51" s="1"/>
      <c r="AC51" s="1"/>
      <c r="AD51" s="1"/>
      <c r="AE51" s="1"/>
      <c r="AF51" s="1"/>
      <c r="AG51" s="1"/>
      <c r="AH51" s="1"/>
      <c r="AI51" s="1"/>
      <c r="AJ51" s="1"/>
      <c r="AK51" s="1"/>
      <c r="AL51" s="1"/>
      <c r="AM51" s="1"/>
      <c r="AN51" s="1"/>
      <c r="AO51" s="1"/>
      <c r="AP51" s="1"/>
      <c r="AQ51" s="1"/>
      <c r="AR51" s="1"/>
      <c r="AS51" s="1"/>
      <c r="AT51" s="1"/>
    </row>
    <row r="52" spans="1:46" ht="18" customHeight="1" x14ac:dyDescent="0.3">
      <c r="A52" s="1"/>
      <c r="B52" s="1"/>
      <c r="C52" s="1"/>
      <c r="D52" s="1"/>
      <c r="E52" s="1"/>
      <c r="F52" s="1"/>
      <c r="G52" s="1"/>
      <c r="H52" s="1"/>
      <c r="I52" s="1"/>
      <c r="J52" s="1"/>
      <c r="K52" s="6"/>
      <c r="L52" s="7"/>
      <c r="M52" s="7"/>
      <c r="N52" s="7"/>
      <c r="O52" s="4"/>
      <c r="P52" s="4"/>
      <c r="Q52" s="1"/>
      <c r="R52" s="1"/>
      <c r="S52" s="5"/>
      <c r="T52" s="5"/>
      <c r="U52" s="5"/>
      <c r="V52" s="1"/>
      <c r="W52" s="1"/>
      <c r="X52" s="1"/>
      <c r="Y52" s="1"/>
      <c r="Z52" s="1"/>
      <c r="AA52" s="1"/>
      <c r="AB52" s="1"/>
      <c r="AC52" s="1"/>
      <c r="AD52" s="1"/>
      <c r="AE52" s="1"/>
      <c r="AF52" s="1"/>
      <c r="AG52" s="1"/>
      <c r="AH52" s="1"/>
      <c r="AI52" s="1"/>
      <c r="AJ52" s="1"/>
      <c r="AK52" s="1"/>
      <c r="AL52" s="1"/>
      <c r="AM52" s="1"/>
      <c r="AN52" s="1"/>
      <c r="AO52" s="1"/>
      <c r="AP52" s="1"/>
      <c r="AQ52" s="1"/>
      <c r="AR52" s="1"/>
      <c r="AS52" s="1"/>
      <c r="AT52" s="1"/>
    </row>
    <row r="53" spans="1:46" ht="18" customHeight="1" x14ac:dyDescent="0.3">
      <c r="A53" s="1"/>
      <c r="B53" s="1"/>
      <c r="C53" s="1"/>
      <c r="D53" s="1"/>
      <c r="E53" s="1"/>
      <c r="F53" s="1"/>
      <c r="G53" s="1"/>
      <c r="H53" s="1"/>
      <c r="I53" s="1"/>
      <c r="J53" s="1"/>
      <c r="K53" s="6"/>
      <c r="L53" s="7"/>
      <c r="M53" s="7"/>
      <c r="N53" s="7"/>
      <c r="O53" s="4"/>
      <c r="P53" s="4"/>
      <c r="Q53" s="1"/>
      <c r="R53" s="1"/>
      <c r="S53" s="5"/>
      <c r="T53" s="5"/>
      <c r="U53" s="5"/>
      <c r="V53" s="1"/>
      <c r="W53" s="1"/>
      <c r="X53" s="1"/>
      <c r="Y53" s="1"/>
      <c r="Z53" s="1"/>
      <c r="AA53" s="1"/>
      <c r="AB53" s="1"/>
      <c r="AC53" s="1"/>
      <c r="AD53" s="1"/>
      <c r="AE53" s="1"/>
      <c r="AF53" s="1"/>
      <c r="AG53" s="1"/>
      <c r="AH53" s="1"/>
      <c r="AI53" s="1"/>
      <c r="AJ53" s="1"/>
      <c r="AK53" s="1"/>
      <c r="AL53" s="1"/>
      <c r="AM53" s="1"/>
      <c r="AN53" s="1"/>
      <c r="AO53" s="1"/>
      <c r="AP53" s="1"/>
      <c r="AQ53" s="1"/>
      <c r="AR53" s="1"/>
      <c r="AS53" s="1"/>
      <c r="AT53" s="1"/>
    </row>
    <row r="54" spans="1:46" ht="18" customHeight="1" x14ac:dyDescent="0.3">
      <c r="A54" s="1"/>
      <c r="B54" s="1"/>
      <c r="C54" s="1"/>
      <c r="D54" s="1"/>
      <c r="E54" s="1"/>
      <c r="F54" s="1"/>
      <c r="G54" s="1"/>
      <c r="H54" s="1"/>
      <c r="I54" s="1"/>
      <c r="J54" s="1"/>
      <c r="K54" s="6"/>
      <c r="L54" s="7"/>
      <c r="M54" s="7"/>
      <c r="N54" s="7"/>
      <c r="O54" s="4"/>
      <c r="P54" s="4"/>
      <c r="Q54" s="1"/>
      <c r="R54" s="1"/>
      <c r="S54" s="5"/>
      <c r="T54" s="5"/>
      <c r="U54" s="5"/>
      <c r="V54" s="1"/>
      <c r="W54" s="1"/>
      <c r="X54" s="1"/>
      <c r="Y54" s="1"/>
      <c r="Z54" s="1"/>
      <c r="AA54" s="1"/>
      <c r="AB54" s="1"/>
      <c r="AC54" s="1"/>
      <c r="AD54" s="1"/>
      <c r="AE54" s="1"/>
      <c r="AF54" s="1"/>
      <c r="AG54" s="1"/>
      <c r="AH54" s="1"/>
      <c r="AI54" s="1"/>
      <c r="AJ54" s="1"/>
      <c r="AK54" s="1"/>
      <c r="AL54" s="1"/>
      <c r="AM54" s="1"/>
      <c r="AN54" s="1"/>
      <c r="AO54" s="1"/>
      <c r="AP54" s="1"/>
      <c r="AQ54" s="1"/>
      <c r="AR54" s="1"/>
      <c r="AS54" s="1"/>
      <c r="AT54" s="1"/>
    </row>
    <row r="55" spans="1:46" ht="18" customHeight="1" x14ac:dyDescent="0.3">
      <c r="A55" s="1"/>
      <c r="B55" s="1"/>
      <c r="C55" s="1"/>
      <c r="D55" s="1"/>
      <c r="E55" s="1"/>
      <c r="F55" s="1"/>
      <c r="G55" s="1"/>
      <c r="H55" s="1"/>
      <c r="I55" s="1"/>
      <c r="J55" s="1"/>
      <c r="K55" s="6"/>
      <c r="L55" s="7"/>
      <c r="M55" s="7"/>
      <c r="N55" s="7"/>
      <c r="O55" s="4"/>
      <c r="P55" s="4"/>
      <c r="Q55" s="1"/>
      <c r="R55" s="1"/>
      <c r="S55" s="5"/>
      <c r="T55" s="5"/>
      <c r="U55" s="5"/>
      <c r="V55" s="1"/>
      <c r="W55" s="1"/>
      <c r="X55" s="1"/>
      <c r="Y55" s="1"/>
      <c r="Z55" s="1"/>
      <c r="AA55" s="1"/>
      <c r="AB55" s="1"/>
      <c r="AC55" s="1"/>
      <c r="AD55" s="1"/>
      <c r="AE55" s="1"/>
      <c r="AF55" s="1"/>
      <c r="AG55" s="1"/>
      <c r="AH55" s="1"/>
      <c r="AI55" s="1"/>
      <c r="AJ55" s="1"/>
      <c r="AK55" s="1"/>
      <c r="AL55" s="1"/>
      <c r="AM55" s="1"/>
      <c r="AN55" s="1"/>
      <c r="AO55" s="1"/>
      <c r="AP55" s="1"/>
      <c r="AQ55" s="1"/>
      <c r="AR55" s="1"/>
      <c r="AS55" s="1"/>
      <c r="AT55" s="1"/>
    </row>
    <row r="56" spans="1:46" ht="18" customHeight="1" x14ac:dyDescent="0.3">
      <c r="A56" s="1"/>
      <c r="B56" s="1"/>
      <c r="C56" s="1"/>
      <c r="D56" s="1"/>
      <c r="E56" s="1"/>
      <c r="F56" s="1"/>
      <c r="G56" s="1"/>
      <c r="H56" s="1"/>
      <c r="I56" s="1"/>
      <c r="J56" s="1"/>
      <c r="K56" s="6"/>
      <c r="L56" s="7"/>
      <c r="M56" s="7"/>
      <c r="N56" s="7"/>
      <c r="O56" s="4"/>
      <c r="P56" s="4"/>
      <c r="Q56" s="1"/>
      <c r="R56" s="1"/>
      <c r="S56" s="5"/>
      <c r="T56" s="5"/>
      <c r="U56" s="5"/>
      <c r="V56" s="1"/>
      <c r="W56" s="1"/>
      <c r="X56" s="1"/>
      <c r="Y56" s="1"/>
      <c r="Z56" s="1"/>
      <c r="AA56" s="1"/>
      <c r="AB56" s="1"/>
      <c r="AC56" s="1"/>
      <c r="AD56" s="1"/>
      <c r="AE56" s="1"/>
      <c r="AF56" s="1"/>
      <c r="AG56" s="1"/>
      <c r="AH56" s="1"/>
      <c r="AI56" s="1"/>
      <c r="AJ56" s="1"/>
      <c r="AK56" s="1"/>
      <c r="AL56" s="1"/>
      <c r="AM56" s="1"/>
      <c r="AN56" s="1"/>
      <c r="AO56" s="1"/>
      <c r="AP56" s="1"/>
      <c r="AQ56" s="1"/>
      <c r="AR56" s="1"/>
      <c r="AS56" s="1"/>
      <c r="AT56" s="1"/>
    </row>
    <row r="57" spans="1:46" ht="18" customHeight="1" x14ac:dyDescent="0.3">
      <c r="A57" s="1"/>
      <c r="B57" s="1"/>
      <c r="C57" s="1"/>
      <c r="D57" s="1"/>
      <c r="E57" s="1"/>
      <c r="F57" s="1"/>
      <c r="G57" s="1"/>
      <c r="H57" s="1"/>
      <c r="I57" s="1"/>
      <c r="J57" s="1"/>
      <c r="K57" s="6"/>
      <c r="L57" s="7"/>
      <c r="M57" s="7"/>
      <c r="N57" s="7"/>
      <c r="O57" s="4"/>
      <c r="P57" s="4"/>
      <c r="Q57" s="1"/>
      <c r="R57" s="1"/>
      <c r="S57" s="5"/>
      <c r="T57" s="5"/>
      <c r="U57" s="5"/>
      <c r="V57" s="1"/>
      <c r="W57" s="1"/>
      <c r="X57" s="1"/>
      <c r="Y57" s="1"/>
      <c r="Z57" s="1"/>
      <c r="AA57" s="1"/>
      <c r="AB57" s="1"/>
      <c r="AC57" s="1"/>
      <c r="AD57" s="1"/>
      <c r="AE57" s="1"/>
      <c r="AF57" s="1"/>
      <c r="AG57" s="1"/>
      <c r="AH57" s="1"/>
      <c r="AI57" s="1"/>
      <c r="AJ57" s="1"/>
      <c r="AK57" s="1"/>
      <c r="AL57" s="1"/>
      <c r="AM57" s="1"/>
      <c r="AN57" s="1"/>
      <c r="AO57" s="1"/>
      <c r="AP57" s="1"/>
      <c r="AQ57" s="1"/>
      <c r="AR57" s="1"/>
      <c r="AS57" s="1"/>
      <c r="AT57" s="1"/>
    </row>
    <row r="58" spans="1:46" ht="18" customHeight="1" x14ac:dyDescent="0.3">
      <c r="A58" s="1"/>
      <c r="B58" s="1"/>
      <c r="C58" s="1"/>
      <c r="D58" s="1"/>
      <c r="E58" s="1"/>
      <c r="F58" s="1"/>
      <c r="G58" s="1"/>
      <c r="H58" s="1"/>
      <c r="I58" s="1"/>
      <c r="J58" s="1"/>
      <c r="K58" s="6"/>
      <c r="L58" s="7"/>
      <c r="M58" s="7"/>
      <c r="N58" s="7"/>
      <c r="O58" s="4"/>
      <c r="P58" s="4"/>
      <c r="Q58" s="1"/>
      <c r="R58" s="1"/>
      <c r="S58" s="5"/>
      <c r="T58" s="5"/>
      <c r="U58" s="5"/>
      <c r="V58" s="1"/>
      <c r="W58" s="1"/>
      <c r="X58" s="1"/>
      <c r="Y58" s="1"/>
      <c r="Z58" s="1"/>
      <c r="AA58" s="1"/>
      <c r="AB58" s="1"/>
      <c r="AC58" s="1"/>
      <c r="AD58" s="1"/>
      <c r="AE58" s="1"/>
      <c r="AF58" s="1"/>
      <c r="AG58" s="1"/>
      <c r="AH58" s="1"/>
      <c r="AI58" s="1"/>
      <c r="AJ58" s="1"/>
      <c r="AK58" s="1"/>
      <c r="AL58" s="1"/>
      <c r="AM58" s="1"/>
      <c r="AN58" s="1"/>
      <c r="AO58" s="1"/>
      <c r="AP58" s="1"/>
      <c r="AQ58" s="1"/>
      <c r="AR58" s="1"/>
      <c r="AS58" s="1"/>
      <c r="AT58" s="1"/>
    </row>
    <row r="59" spans="1:46" ht="18" customHeight="1" x14ac:dyDescent="0.3">
      <c r="A59" s="1"/>
      <c r="B59" s="1"/>
      <c r="C59" s="1"/>
      <c r="D59" s="1"/>
      <c r="E59" s="1"/>
      <c r="F59" s="1"/>
      <c r="G59" s="1"/>
      <c r="H59" s="1"/>
      <c r="I59" s="1"/>
      <c r="J59" s="1"/>
      <c r="K59" s="6"/>
      <c r="L59" s="7"/>
      <c r="M59" s="7"/>
      <c r="N59" s="7"/>
      <c r="O59" s="4"/>
      <c r="P59" s="4"/>
      <c r="Q59" s="1"/>
      <c r="R59" s="1"/>
      <c r="S59" s="5"/>
      <c r="T59" s="5"/>
      <c r="U59" s="5"/>
      <c r="V59" s="1"/>
      <c r="W59" s="1"/>
      <c r="X59" s="1"/>
      <c r="Y59" s="1"/>
      <c r="Z59" s="1"/>
      <c r="AA59" s="1"/>
      <c r="AB59" s="1"/>
      <c r="AC59" s="1"/>
      <c r="AD59" s="1"/>
      <c r="AE59" s="1"/>
      <c r="AF59" s="1"/>
      <c r="AG59" s="1"/>
      <c r="AH59" s="1"/>
      <c r="AI59" s="1"/>
      <c r="AJ59" s="1"/>
      <c r="AK59" s="1"/>
      <c r="AL59" s="1"/>
      <c r="AM59" s="1"/>
      <c r="AN59" s="1"/>
      <c r="AO59" s="1"/>
      <c r="AP59" s="1"/>
      <c r="AQ59" s="1"/>
      <c r="AR59" s="1"/>
      <c r="AS59" s="1"/>
      <c r="AT59" s="1"/>
    </row>
    <row r="60" spans="1:46" ht="18" customHeight="1" x14ac:dyDescent="0.3">
      <c r="A60" s="1"/>
      <c r="B60" s="1"/>
      <c r="C60" s="1"/>
      <c r="D60" s="1"/>
      <c r="E60" s="1"/>
      <c r="F60" s="1"/>
      <c r="G60" s="1"/>
      <c r="H60" s="1"/>
      <c r="I60" s="1"/>
      <c r="J60" s="1"/>
      <c r="K60" s="6"/>
      <c r="L60" s="7"/>
      <c r="M60" s="7"/>
      <c r="N60" s="7"/>
      <c r="O60" s="4"/>
      <c r="P60" s="4"/>
      <c r="Q60" s="1"/>
      <c r="R60" s="1"/>
      <c r="S60" s="5"/>
      <c r="T60" s="5"/>
      <c r="U60" s="5"/>
      <c r="V60" s="1"/>
      <c r="W60" s="1"/>
      <c r="X60" s="1"/>
      <c r="Y60" s="1"/>
      <c r="Z60" s="1"/>
      <c r="AA60" s="1"/>
      <c r="AB60" s="1"/>
      <c r="AC60" s="1"/>
      <c r="AD60" s="1"/>
      <c r="AE60" s="1"/>
      <c r="AF60" s="1"/>
      <c r="AG60" s="1"/>
      <c r="AH60" s="1"/>
      <c r="AI60" s="1"/>
      <c r="AJ60" s="1"/>
      <c r="AK60" s="1"/>
      <c r="AL60" s="1"/>
      <c r="AM60" s="1"/>
      <c r="AN60" s="1"/>
      <c r="AO60" s="1"/>
      <c r="AP60" s="1"/>
      <c r="AQ60" s="1"/>
      <c r="AR60" s="1"/>
      <c r="AS60" s="1"/>
      <c r="AT60" s="1"/>
    </row>
    <row r="61" spans="1:46" ht="18" customHeight="1" x14ac:dyDescent="0.3">
      <c r="A61" s="1"/>
      <c r="B61" s="1"/>
      <c r="C61" s="1"/>
      <c r="D61" s="1"/>
      <c r="E61" s="1"/>
      <c r="F61" s="1"/>
      <c r="G61" s="1"/>
      <c r="H61" s="1"/>
      <c r="I61" s="1"/>
      <c r="J61" s="1"/>
      <c r="K61" s="6"/>
      <c r="L61" s="7"/>
      <c r="M61" s="7"/>
      <c r="N61" s="7"/>
      <c r="O61" s="4"/>
      <c r="P61" s="4"/>
      <c r="Q61" s="1"/>
      <c r="R61" s="1"/>
      <c r="S61" s="5"/>
      <c r="T61" s="5"/>
      <c r="U61" s="5"/>
      <c r="V61" s="1"/>
      <c r="W61" s="1"/>
      <c r="X61" s="1"/>
      <c r="Y61" s="1"/>
      <c r="Z61" s="1"/>
      <c r="AA61" s="1"/>
      <c r="AB61" s="1"/>
      <c r="AC61" s="1"/>
      <c r="AD61" s="1"/>
      <c r="AE61" s="1"/>
      <c r="AF61" s="1"/>
      <c r="AG61" s="1"/>
      <c r="AH61" s="1"/>
      <c r="AI61" s="1"/>
      <c r="AJ61" s="1"/>
      <c r="AK61" s="1"/>
      <c r="AL61" s="1"/>
      <c r="AM61" s="1"/>
      <c r="AN61" s="1"/>
      <c r="AO61" s="1"/>
      <c r="AP61" s="1"/>
      <c r="AQ61" s="1"/>
      <c r="AR61" s="1"/>
      <c r="AS61" s="1"/>
      <c r="AT61" s="1"/>
    </row>
    <row r="62" spans="1:46" ht="18" customHeight="1" x14ac:dyDescent="0.3">
      <c r="A62" s="1"/>
      <c r="B62" s="1"/>
      <c r="C62" s="1"/>
      <c r="D62" s="1"/>
      <c r="E62" s="1"/>
      <c r="F62" s="1"/>
      <c r="G62" s="1"/>
      <c r="H62" s="1"/>
      <c r="I62" s="1"/>
      <c r="J62" s="1"/>
      <c r="K62" s="6"/>
      <c r="L62" s="7"/>
      <c r="M62" s="7"/>
      <c r="N62" s="7"/>
      <c r="O62" s="4"/>
      <c r="P62" s="4"/>
      <c r="Q62" s="1"/>
      <c r="R62" s="1"/>
      <c r="S62" s="5"/>
      <c r="T62" s="5"/>
      <c r="U62" s="5"/>
      <c r="V62" s="1"/>
      <c r="W62" s="1"/>
      <c r="X62" s="1"/>
      <c r="Y62" s="1"/>
      <c r="Z62" s="1"/>
      <c r="AA62" s="1"/>
      <c r="AB62" s="1"/>
      <c r="AC62" s="1"/>
      <c r="AD62" s="1"/>
      <c r="AE62" s="1"/>
      <c r="AF62" s="1"/>
      <c r="AG62" s="1"/>
      <c r="AH62" s="1"/>
      <c r="AI62" s="1"/>
      <c r="AJ62" s="1"/>
      <c r="AK62" s="1"/>
      <c r="AL62" s="1"/>
      <c r="AM62" s="1"/>
      <c r="AN62" s="1"/>
      <c r="AO62" s="1"/>
      <c r="AP62" s="1"/>
      <c r="AQ62" s="1"/>
      <c r="AR62" s="1"/>
      <c r="AS62" s="1"/>
      <c r="AT62" s="1"/>
    </row>
    <row r="63" spans="1:46" ht="18" customHeight="1" collapsed="1" x14ac:dyDescent="0.3">
      <c r="A63" s="1"/>
      <c r="B63" s="1"/>
      <c r="C63" s="1"/>
      <c r="D63" s="1"/>
      <c r="E63" s="1"/>
      <c r="F63" s="1"/>
      <c r="G63" s="1"/>
      <c r="H63" s="1"/>
      <c r="I63" s="1"/>
      <c r="J63" s="1"/>
      <c r="K63" s="6"/>
      <c r="L63" s="7"/>
      <c r="M63" s="7"/>
      <c r="N63" s="7"/>
      <c r="O63" s="7"/>
      <c r="P63" s="7"/>
      <c r="Q63" s="4"/>
      <c r="R63" s="4"/>
      <c r="S63" s="1"/>
      <c r="T63" s="1"/>
      <c r="U63" s="5"/>
      <c r="V63" s="5"/>
      <c r="W63" s="5"/>
      <c r="X63" s="1"/>
      <c r="Y63" s="1"/>
      <c r="Z63" s="1"/>
      <c r="AA63" s="1"/>
      <c r="AB63" s="1"/>
      <c r="AC63" s="1"/>
      <c r="AD63" s="1"/>
      <c r="AE63" s="1"/>
      <c r="AF63" s="1"/>
      <c r="AG63" s="1"/>
      <c r="AH63" s="1"/>
      <c r="AI63" s="1"/>
      <c r="AJ63" s="1"/>
      <c r="AK63" s="1"/>
      <c r="AL63" s="1"/>
      <c r="AM63" s="1"/>
      <c r="AN63" s="1"/>
      <c r="AO63" s="1"/>
      <c r="AP63" s="1"/>
      <c r="AQ63" s="1"/>
      <c r="AR63" s="1"/>
      <c r="AS63" s="1"/>
      <c r="AT63" s="1"/>
    </row>
    <row r="64" spans="1:46" ht="18" customHeight="1" x14ac:dyDescent="0.3">
      <c r="A64" s="1"/>
      <c r="B64" s="1"/>
      <c r="C64" s="1"/>
      <c r="D64" s="1"/>
      <c r="E64" s="1"/>
      <c r="F64" s="1"/>
      <c r="G64" s="1"/>
      <c r="H64" s="1"/>
      <c r="I64" s="1"/>
      <c r="J64" s="1"/>
      <c r="K64" s="7"/>
      <c r="L64" s="7"/>
      <c r="M64" s="7"/>
      <c r="N64" s="7"/>
      <c r="O64" s="7"/>
      <c r="P64" s="7"/>
      <c r="Q64" s="4"/>
      <c r="R64" s="4"/>
      <c r="S64" s="1"/>
      <c r="T64" s="1"/>
      <c r="U64" s="5"/>
      <c r="V64" s="5"/>
      <c r="W64" s="5"/>
      <c r="X64" s="1"/>
      <c r="Y64" s="1"/>
      <c r="Z64" s="1"/>
      <c r="AA64" s="1"/>
      <c r="AB64" s="1"/>
      <c r="AC64" s="1"/>
      <c r="AD64" s="1"/>
      <c r="AE64" s="1"/>
      <c r="AF64" s="1"/>
      <c r="AG64" s="1"/>
      <c r="AH64" s="1"/>
      <c r="AI64" s="1"/>
      <c r="AJ64" s="1"/>
      <c r="AK64" s="1"/>
      <c r="AL64" s="1"/>
      <c r="AM64" s="1"/>
      <c r="AN64" s="1"/>
      <c r="AO64" s="1"/>
      <c r="AP64" s="1"/>
      <c r="AQ64" s="1"/>
      <c r="AR64" s="1"/>
      <c r="AS64" s="1"/>
      <c r="AT64" s="1"/>
    </row>
    <row r="65" spans="1:46" ht="18" customHeight="1" x14ac:dyDescent="0.3">
      <c r="A65" s="1"/>
      <c r="B65" s="1"/>
      <c r="C65" s="1"/>
      <c r="D65" s="1"/>
      <c r="E65" s="1"/>
      <c r="F65" s="1"/>
      <c r="G65" s="1"/>
      <c r="H65" s="1"/>
      <c r="I65" s="1"/>
      <c r="J65" s="1"/>
      <c r="K65" s="2"/>
      <c r="L65" s="2"/>
      <c r="M65" s="2"/>
      <c r="N65" s="2"/>
      <c r="O65" s="2"/>
      <c r="P65" s="2"/>
      <c r="Q65" s="1"/>
      <c r="R65" s="1"/>
      <c r="S65" s="1"/>
      <c r="T65" s="1"/>
      <c r="U65" s="5"/>
      <c r="V65" s="5"/>
      <c r="W65" s="5"/>
      <c r="X65" s="1"/>
      <c r="Y65" s="1"/>
      <c r="Z65" s="1"/>
      <c r="AA65" s="1"/>
      <c r="AB65" s="1"/>
      <c r="AC65" s="1"/>
      <c r="AD65" s="1"/>
      <c r="AE65" s="1"/>
      <c r="AF65" s="1"/>
      <c r="AG65" s="1"/>
      <c r="AH65" s="1"/>
      <c r="AI65" s="1"/>
      <c r="AJ65" s="1"/>
      <c r="AK65" s="1"/>
      <c r="AL65" s="1"/>
      <c r="AM65" s="1"/>
      <c r="AN65" s="1"/>
      <c r="AO65" s="1"/>
      <c r="AP65" s="1"/>
      <c r="AQ65" s="1"/>
      <c r="AR65" s="1"/>
      <c r="AS65" s="1"/>
      <c r="AT65" s="1"/>
    </row>
    <row r="66" spans="1:46" ht="18" customHeight="1" x14ac:dyDescent="0.3">
      <c r="A66" s="1"/>
      <c r="B66" s="1"/>
      <c r="C66" s="1"/>
      <c r="D66" s="1"/>
      <c r="E66" s="1"/>
      <c r="F66" s="1"/>
      <c r="G66" s="1"/>
      <c r="H66" s="1"/>
      <c r="I66" s="1"/>
      <c r="J66" s="1"/>
      <c r="K66" s="2"/>
      <c r="L66" s="9"/>
      <c r="M66" s="2"/>
      <c r="N66" s="2"/>
      <c r="O66" s="2"/>
      <c r="P66" s="2"/>
      <c r="Q66" s="1"/>
      <c r="R66" s="1"/>
      <c r="S66" s="1"/>
      <c r="T66" s="1"/>
      <c r="U66" s="5"/>
      <c r="V66" s="5"/>
      <c r="W66" s="5"/>
      <c r="X66" s="1"/>
      <c r="Y66" s="1"/>
      <c r="Z66" s="1"/>
      <c r="AA66" s="1"/>
      <c r="AB66" s="1"/>
      <c r="AC66" s="1"/>
      <c r="AD66" s="1"/>
      <c r="AE66" s="1"/>
      <c r="AF66" s="1"/>
      <c r="AG66" s="1"/>
      <c r="AH66" s="1"/>
      <c r="AI66" s="1"/>
      <c r="AJ66" s="1"/>
      <c r="AK66" s="1"/>
      <c r="AL66" s="1"/>
      <c r="AM66" s="1"/>
      <c r="AN66" s="1"/>
      <c r="AO66" s="1"/>
      <c r="AP66" s="1"/>
      <c r="AQ66" s="1"/>
      <c r="AR66" s="1"/>
      <c r="AS66" s="1"/>
      <c r="AT66" s="1"/>
    </row>
    <row r="67" spans="1:46" ht="18" customHeight="1" x14ac:dyDescent="0.3">
      <c r="A67" s="1"/>
      <c r="B67" s="1"/>
      <c r="C67" s="1"/>
      <c r="D67" s="1"/>
      <c r="E67" s="1"/>
      <c r="F67" s="1"/>
      <c r="G67" s="1"/>
      <c r="H67" s="1"/>
      <c r="I67" s="1"/>
      <c r="J67" s="1"/>
      <c r="K67" s="2"/>
      <c r="L67" s="2"/>
      <c r="M67" s="2"/>
      <c r="N67" s="2"/>
      <c r="O67" s="2"/>
      <c r="P67" s="2"/>
      <c r="Q67" s="1"/>
      <c r="R67" s="1"/>
      <c r="S67" s="1"/>
      <c r="T67" s="1"/>
      <c r="U67" s="5"/>
      <c r="V67" s="5"/>
      <c r="W67" s="5"/>
      <c r="X67" s="1"/>
      <c r="Y67" s="1"/>
      <c r="Z67" s="1"/>
      <c r="AA67" s="1"/>
      <c r="AB67" s="1"/>
      <c r="AC67" s="1"/>
      <c r="AD67" s="1"/>
      <c r="AE67" s="1"/>
      <c r="AF67" s="1"/>
      <c r="AG67" s="1"/>
      <c r="AH67" s="1"/>
      <c r="AI67" s="1"/>
      <c r="AJ67" s="1"/>
      <c r="AK67" s="1"/>
      <c r="AL67" s="1"/>
      <c r="AM67" s="1"/>
      <c r="AN67" s="1"/>
      <c r="AO67" s="1"/>
      <c r="AP67" s="1"/>
      <c r="AQ67" s="1"/>
      <c r="AR67" s="1"/>
      <c r="AS67" s="1"/>
      <c r="AT67" s="1"/>
    </row>
    <row r="68" spans="1:46" ht="18" hidden="1" customHeight="1" x14ac:dyDescent="0.3">
      <c r="A68" s="1"/>
      <c r="B68" s="1"/>
      <c r="C68" s="1"/>
      <c r="D68" s="1"/>
      <c r="E68" s="1"/>
      <c r="F68" s="1"/>
      <c r="G68" s="1"/>
      <c r="H68" s="1"/>
      <c r="I68" s="1"/>
      <c r="J68" s="1"/>
      <c r="K68" s="2"/>
      <c r="L68" s="2"/>
      <c r="M68" s="2"/>
      <c r="N68" s="2"/>
      <c r="O68" s="2"/>
      <c r="P68" s="2"/>
      <c r="Q68" s="1"/>
      <c r="R68" s="1"/>
      <c r="S68" s="1"/>
      <c r="T68" s="1"/>
      <c r="U68" s="5"/>
      <c r="V68" s="5"/>
      <c r="W68" s="5"/>
      <c r="X68" s="1"/>
      <c r="Y68" s="1"/>
      <c r="Z68" s="1"/>
      <c r="AA68" s="1"/>
      <c r="AB68" s="1"/>
      <c r="AC68" s="1"/>
      <c r="AD68" s="1"/>
      <c r="AE68" s="1"/>
      <c r="AF68" s="1"/>
      <c r="AG68" s="1"/>
      <c r="AH68" s="1"/>
      <c r="AI68" s="1"/>
      <c r="AJ68" s="1"/>
      <c r="AK68" s="1"/>
      <c r="AL68" s="1"/>
      <c r="AM68" s="1"/>
      <c r="AN68" s="1"/>
      <c r="AO68" s="1"/>
      <c r="AP68" s="1"/>
      <c r="AQ68" s="1"/>
      <c r="AR68" s="1"/>
      <c r="AS68" s="1"/>
      <c r="AT68" s="1"/>
    </row>
    <row r="69" spans="1:46" ht="18" hidden="1" customHeight="1" x14ac:dyDescent="0.3">
      <c r="A69" s="1"/>
      <c r="B69" s="1"/>
      <c r="C69" s="1"/>
      <c r="D69" s="1"/>
      <c r="E69" s="1"/>
      <c r="F69" s="1"/>
      <c r="G69" s="1"/>
      <c r="H69" s="1"/>
      <c r="I69" s="1"/>
      <c r="J69" s="1"/>
      <c r="K69" s="2"/>
      <c r="L69" s="2"/>
      <c r="M69" s="2"/>
      <c r="N69" s="2"/>
      <c r="O69" s="2"/>
      <c r="P69" s="2"/>
      <c r="Q69" s="1"/>
      <c r="R69" s="1"/>
      <c r="S69" s="1"/>
      <c r="T69" s="1"/>
      <c r="U69" s="5"/>
      <c r="V69" s="5"/>
      <c r="W69" s="5"/>
      <c r="X69" s="1"/>
      <c r="Y69" s="1"/>
      <c r="Z69" s="1"/>
      <c r="AA69" s="1"/>
      <c r="AB69" s="1"/>
      <c r="AC69" s="1"/>
      <c r="AD69" s="1"/>
      <c r="AE69" s="1"/>
      <c r="AF69" s="1"/>
      <c r="AG69" s="1"/>
      <c r="AH69" s="1"/>
      <c r="AI69" s="1"/>
      <c r="AJ69" s="1"/>
      <c r="AK69" s="1"/>
      <c r="AL69" s="1"/>
      <c r="AM69" s="1"/>
      <c r="AN69" s="1"/>
      <c r="AO69" s="1"/>
      <c r="AP69" s="1"/>
      <c r="AQ69" s="1"/>
      <c r="AR69" s="1"/>
      <c r="AS69" s="1"/>
      <c r="AT69" s="1"/>
    </row>
    <row r="70" spans="1:46" ht="18" hidden="1" customHeight="1" x14ac:dyDescent="0.3">
      <c r="A70" s="1"/>
      <c r="B70" s="1"/>
      <c r="C70" s="1"/>
      <c r="D70" s="1"/>
      <c r="E70" s="1"/>
      <c r="F70" s="1"/>
      <c r="G70" s="1"/>
      <c r="H70" s="1"/>
      <c r="I70" s="1"/>
      <c r="J70" s="1"/>
      <c r="K70" s="2"/>
      <c r="L70" s="2"/>
      <c r="M70" s="2"/>
      <c r="N70" s="2"/>
      <c r="O70" s="2"/>
      <c r="P70" s="2"/>
      <c r="Q70" s="1"/>
      <c r="R70" s="1"/>
      <c r="S70" s="1"/>
      <c r="T70" s="1"/>
      <c r="U70" s="5"/>
      <c r="V70" s="5"/>
      <c r="W70" s="5"/>
      <c r="X70" s="1"/>
      <c r="Y70" s="1"/>
      <c r="Z70" s="1"/>
      <c r="AA70" s="1"/>
      <c r="AB70" s="1"/>
      <c r="AC70" s="1"/>
      <c r="AD70" s="1"/>
      <c r="AE70" s="1"/>
      <c r="AF70" s="1"/>
      <c r="AG70" s="1"/>
      <c r="AH70" s="1"/>
      <c r="AI70" s="1"/>
      <c r="AJ70" s="1"/>
      <c r="AK70" s="1"/>
      <c r="AL70" s="1"/>
      <c r="AM70" s="1"/>
      <c r="AN70" s="1"/>
      <c r="AO70" s="1"/>
      <c r="AP70" s="1"/>
      <c r="AQ70" s="1"/>
      <c r="AR70" s="1"/>
      <c r="AS70" s="1"/>
      <c r="AT70" s="1"/>
    </row>
    <row r="71" spans="1:46" ht="18" hidden="1" customHeight="1" x14ac:dyDescent="0.3">
      <c r="A71" s="1"/>
      <c r="B71" s="1"/>
      <c r="C71" s="1"/>
      <c r="D71" s="1"/>
      <c r="E71" s="1"/>
      <c r="F71" s="1"/>
      <c r="G71" s="1"/>
      <c r="H71" s="1"/>
      <c r="I71" s="1"/>
      <c r="J71" s="1"/>
      <c r="K71" s="2"/>
      <c r="L71" s="2"/>
      <c r="M71" s="2"/>
      <c r="N71" s="2"/>
      <c r="O71" s="2"/>
      <c r="P71" s="2"/>
      <c r="Q71" s="1"/>
      <c r="R71" s="1"/>
      <c r="S71" s="1"/>
      <c r="T71" s="1"/>
      <c r="U71" s="5"/>
      <c r="V71" s="5"/>
      <c r="W71" s="5"/>
      <c r="X71" s="1"/>
      <c r="Y71" s="1"/>
      <c r="Z71" s="1"/>
      <c r="AA71" s="1"/>
      <c r="AB71" s="1"/>
      <c r="AC71" s="1"/>
      <c r="AD71" s="1"/>
      <c r="AE71" s="1"/>
      <c r="AF71" s="1"/>
      <c r="AG71" s="1"/>
      <c r="AH71" s="1"/>
      <c r="AI71" s="1"/>
      <c r="AJ71" s="1"/>
      <c r="AK71" s="1"/>
      <c r="AL71" s="1"/>
      <c r="AM71" s="1"/>
      <c r="AN71" s="1"/>
      <c r="AO71" s="1"/>
      <c r="AP71" s="1"/>
      <c r="AQ71" s="1"/>
      <c r="AR71" s="1"/>
      <c r="AS71" s="1"/>
      <c r="AT71" s="1"/>
    </row>
    <row r="72" spans="1:46" ht="18" hidden="1" customHeight="1" x14ac:dyDescent="0.3">
      <c r="A72" s="1"/>
      <c r="B72" s="1"/>
      <c r="C72" s="1"/>
      <c r="D72" s="1"/>
      <c r="E72" s="1"/>
      <c r="F72" s="1"/>
      <c r="G72" s="1"/>
      <c r="H72" s="1"/>
      <c r="I72" s="1"/>
      <c r="J72" s="1"/>
      <c r="K72" s="2"/>
      <c r="L72" s="2"/>
      <c r="M72" s="2"/>
      <c r="N72" s="2"/>
      <c r="O72" s="2"/>
      <c r="P72" s="2"/>
      <c r="Q72" s="1"/>
      <c r="R72" s="1"/>
      <c r="S72" s="1"/>
      <c r="T72" s="1"/>
      <c r="U72" s="5"/>
      <c r="V72" s="5"/>
      <c r="W72" s="5"/>
      <c r="X72" s="1"/>
      <c r="Y72" s="1"/>
      <c r="Z72" s="1"/>
      <c r="AA72" s="1"/>
      <c r="AB72" s="1"/>
      <c r="AC72" s="1"/>
      <c r="AD72" s="1"/>
      <c r="AE72" s="1"/>
      <c r="AF72" s="1"/>
      <c r="AG72" s="1"/>
      <c r="AH72" s="1"/>
      <c r="AI72" s="1"/>
      <c r="AJ72" s="1"/>
      <c r="AK72" s="1"/>
      <c r="AL72" s="1"/>
      <c r="AM72" s="1"/>
      <c r="AN72" s="1"/>
      <c r="AO72" s="1"/>
      <c r="AP72" s="1"/>
      <c r="AQ72" s="1"/>
      <c r="AR72" s="1"/>
      <c r="AS72" s="1"/>
      <c r="AT72" s="1"/>
    </row>
    <row r="73" spans="1:46" ht="18" hidden="1" customHeight="1" x14ac:dyDescent="0.3">
      <c r="A73" s="1"/>
      <c r="B73" s="1"/>
      <c r="C73" s="1"/>
      <c r="D73" s="1"/>
      <c r="E73" s="1"/>
      <c r="F73" s="1"/>
      <c r="G73" s="1"/>
      <c r="H73" s="1"/>
      <c r="I73" s="1"/>
      <c r="J73" s="1"/>
      <c r="K73" s="2"/>
      <c r="L73" s="2"/>
      <c r="M73" s="2"/>
      <c r="N73" s="2"/>
      <c r="O73" s="2"/>
      <c r="P73" s="2"/>
      <c r="Q73" s="1"/>
      <c r="R73" s="1"/>
      <c r="S73" s="1"/>
      <c r="T73" s="1"/>
      <c r="U73" s="5"/>
      <c r="V73" s="5"/>
      <c r="W73" s="5"/>
      <c r="X73" s="1"/>
      <c r="Y73" s="1"/>
      <c r="Z73" s="1"/>
      <c r="AA73" s="1"/>
      <c r="AB73" s="1"/>
      <c r="AC73" s="1"/>
      <c r="AD73" s="1"/>
      <c r="AE73" s="1"/>
      <c r="AF73" s="1"/>
      <c r="AG73" s="1"/>
      <c r="AH73" s="1"/>
      <c r="AI73" s="1"/>
      <c r="AJ73" s="1"/>
      <c r="AK73" s="1"/>
      <c r="AL73" s="1"/>
      <c r="AM73" s="1"/>
      <c r="AN73" s="1"/>
      <c r="AO73" s="1"/>
      <c r="AP73" s="1"/>
      <c r="AQ73" s="1"/>
      <c r="AR73" s="1"/>
      <c r="AS73" s="1"/>
      <c r="AT73" s="1"/>
    </row>
    <row r="74" spans="1:46" ht="18" hidden="1" customHeight="1" x14ac:dyDescent="0.3">
      <c r="A74" s="1"/>
      <c r="B74" s="1"/>
      <c r="C74" s="1"/>
      <c r="D74" s="1"/>
      <c r="E74" s="1"/>
      <c r="F74" s="1"/>
      <c r="G74" s="1"/>
      <c r="H74" s="1"/>
      <c r="I74" s="1"/>
      <c r="J74" s="1"/>
      <c r="K74" s="2"/>
      <c r="L74" s="2"/>
      <c r="M74" s="2"/>
      <c r="N74" s="2"/>
      <c r="O74" s="2"/>
      <c r="P74" s="2"/>
      <c r="Q74" s="1"/>
      <c r="R74" s="1"/>
      <c r="S74" s="1"/>
      <c r="T74" s="1"/>
      <c r="U74" s="5"/>
      <c r="V74" s="5"/>
      <c r="W74" s="5"/>
      <c r="X74" s="1"/>
      <c r="Y74" s="1"/>
      <c r="Z74" s="1"/>
      <c r="AA74" s="1"/>
      <c r="AB74" s="1"/>
      <c r="AC74" s="1"/>
      <c r="AD74" s="1"/>
      <c r="AE74" s="1"/>
      <c r="AF74" s="1"/>
      <c r="AG74" s="1"/>
      <c r="AH74" s="1"/>
      <c r="AI74" s="1"/>
      <c r="AJ74" s="1"/>
      <c r="AK74" s="1"/>
      <c r="AL74" s="1"/>
      <c r="AM74" s="1"/>
      <c r="AN74" s="1"/>
      <c r="AO74" s="1"/>
      <c r="AP74" s="1"/>
      <c r="AQ74" s="1"/>
      <c r="AR74" s="1"/>
      <c r="AS74" s="1"/>
      <c r="AT74" s="1"/>
    </row>
    <row r="75" spans="1:46" ht="18" customHeight="1" collapsed="1" x14ac:dyDescent="0.3">
      <c r="A75" s="1"/>
      <c r="B75" s="1"/>
      <c r="C75" s="1"/>
      <c r="D75" s="1"/>
      <c r="E75" s="1"/>
      <c r="F75" s="1"/>
      <c r="G75" s="1"/>
      <c r="H75" s="1"/>
      <c r="I75" s="1"/>
      <c r="J75" s="1"/>
      <c r="K75" s="2"/>
      <c r="L75" s="2"/>
      <c r="M75" s="2"/>
      <c r="N75" s="2"/>
      <c r="O75" s="2"/>
      <c r="P75" s="2"/>
      <c r="Q75" s="1"/>
      <c r="R75" s="1"/>
      <c r="S75" s="1"/>
      <c r="T75" s="1"/>
      <c r="U75" s="5"/>
      <c r="V75" s="5"/>
      <c r="W75" s="5"/>
      <c r="X75" s="1"/>
      <c r="Y75" s="1"/>
      <c r="Z75" s="1"/>
      <c r="AA75" s="1"/>
      <c r="AB75" s="1"/>
      <c r="AC75" s="1"/>
      <c r="AD75" s="1"/>
      <c r="AE75" s="1"/>
      <c r="AF75" s="1"/>
      <c r="AG75" s="1"/>
      <c r="AH75" s="1"/>
      <c r="AI75" s="1"/>
      <c r="AJ75" s="1"/>
      <c r="AK75" s="1"/>
      <c r="AL75" s="1"/>
      <c r="AM75" s="1"/>
      <c r="AN75" s="1"/>
      <c r="AO75" s="1"/>
      <c r="AP75" s="1"/>
      <c r="AQ75" s="1"/>
      <c r="AR75" s="1"/>
      <c r="AS75" s="1"/>
      <c r="AT75" s="1"/>
    </row>
    <row r="76" spans="1:46" ht="18" hidden="1" customHeight="1" x14ac:dyDescent="0.3">
      <c r="A76" s="1"/>
      <c r="B76" s="1"/>
      <c r="C76" s="1"/>
      <c r="D76" s="1"/>
      <c r="E76" s="1"/>
      <c r="F76" s="1"/>
      <c r="G76" s="1"/>
      <c r="H76" s="1"/>
      <c r="I76" s="1"/>
      <c r="J76" s="1"/>
      <c r="K76" s="2"/>
      <c r="L76" s="2"/>
      <c r="M76" s="2"/>
      <c r="N76" s="2"/>
      <c r="O76" s="2"/>
      <c r="P76" s="2"/>
      <c r="Q76" s="1"/>
      <c r="R76" s="1"/>
      <c r="S76" s="1"/>
      <c r="T76" s="1"/>
      <c r="U76" s="5"/>
      <c r="V76" s="5"/>
      <c r="W76" s="5"/>
      <c r="X76" s="1"/>
      <c r="Y76" s="1"/>
      <c r="Z76" s="1"/>
      <c r="AA76" s="1"/>
      <c r="AB76" s="1"/>
      <c r="AC76" s="1"/>
      <c r="AD76" s="1"/>
      <c r="AE76" s="1"/>
      <c r="AF76" s="1"/>
      <c r="AG76" s="1"/>
      <c r="AH76" s="1"/>
      <c r="AI76" s="1"/>
      <c r="AJ76" s="1"/>
      <c r="AK76" s="1"/>
      <c r="AL76" s="1"/>
      <c r="AM76" s="1"/>
      <c r="AN76" s="1"/>
      <c r="AO76" s="1"/>
      <c r="AP76" s="1"/>
      <c r="AQ76" s="1"/>
      <c r="AR76" s="1"/>
      <c r="AS76" s="1"/>
      <c r="AT76" s="1"/>
    </row>
    <row r="77" spans="1:46" ht="18" hidden="1" customHeight="1" x14ac:dyDescent="0.3">
      <c r="A77" s="1"/>
      <c r="B77" s="1"/>
      <c r="C77" s="1"/>
      <c r="D77" s="1"/>
      <c r="E77" s="1"/>
      <c r="F77" s="1"/>
      <c r="G77" s="1"/>
      <c r="H77" s="1"/>
      <c r="I77" s="1"/>
      <c r="J77" s="1"/>
      <c r="K77" s="2"/>
      <c r="L77" s="2"/>
      <c r="M77" s="2"/>
      <c r="N77" s="2"/>
      <c r="O77" s="2"/>
      <c r="P77" s="2"/>
      <c r="Q77" s="1"/>
      <c r="R77" s="1"/>
      <c r="S77" s="1"/>
      <c r="T77" s="1"/>
      <c r="U77" s="5"/>
      <c r="V77" s="5"/>
      <c r="W77" s="5"/>
      <c r="X77" s="1"/>
      <c r="Y77" s="1"/>
      <c r="Z77" s="1"/>
      <c r="AA77" s="1"/>
      <c r="AB77" s="1"/>
      <c r="AC77" s="1"/>
      <c r="AD77" s="1"/>
      <c r="AE77" s="1"/>
      <c r="AF77" s="1"/>
      <c r="AG77" s="1"/>
      <c r="AH77" s="1"/>
      <c r="AI77" s="1"/>
      <c r="AJ77" s="1"/>
      <c r="AK77" s="1"/>
      <c r="AL77" s="1"/>
      <c r="AM77" s="1"/>
      <c r="AN77" s="1"/>
      <c r="AO77" s="1"/>
      <c r="AP77" s="1"/>
      <c r="AQ77" s="1"/>
      <c r="AR77" s="1"/>
      <c r="AS77" s="1"/>
      <c r="AT77" s="1"/>
    </row>
    <row r="78" spans="1:46" ht="18" hidden="1" customHeight="1" x14ac:dyDescent="0.3">
      <c r="A78" s="1"/>
      <c r="B78" s="1"/>
      <c r="C78" s="1"/>
      <c r="D78" s="1"/>
      <c r="E78" s="1"/>
      <c r="F78" s="1"/>
      <c r="G78" s="1"/>
      <c r="H78" s="1"/>
      <c r="I78" s="1"/>
      <c r="J78" s="1"/>
      <c r="K78" s="2"/>
      <c r="L78" s="2"/>
      <c r="M78" s="2"/>
      <c r="N78" s="2"/>
      <c r="O78" s="2"/>
      <c r="P78" s="2"/>
      <c r="Q78" s="1"/>
      <c r="R78" s="1"/>
      <c r="S78" s="1"/>
      <c r="T78" s="1"/>
      <c r="U78" s="5"/>
      <c r="V78" s="5"/>
      <c r="W78" s="5"/>
      <c r="X78" s="1"/>
      <c r="Y78" s="1"/>
      <c r="Z78" s="1"/>
      <c r="AA78" s="1"/>
      <c r="AB78" s="1"/>
      <c r="AC78" s="1"/>
      <c r="AD78" s="1"/>
      <c r="AE78" s="1"/>
      <c r="AF78" s="1"/>
      <c r="AG78" s="1"/>
      <c r="AH78" s="1"/>
      <c r="AI78" s="1"/>
      <c r="AJ78" s="1"/>
      <c r="AK78" s="1"/>
      <c r="AL78" s="1"/>
      <c r="AM78" s="1"/>
      <c r="AN78" s="1"/>
      <c r="AO78" s="1"/>
      <c r="AP78" s="1"/>
      <c r="AQ78" s="1"/>
      <c r="AR78" s="1"/>
      <c r="AS78" s="1"/>
      <c r="AT78" s="1"/>
    </row>
    <row r="79" spans="1:46" ht="18" hidden="1" customHeight="1" x14ac:dyDescent="0.3">
      <c r="A79" s="1"/>
      <c r="B79" s="1"/>
      <c r="C79" s="1"/>
      <c r="D79" s="1"/>
      <c r="E79" s="1"/>
      <c r="F79" s="1"/>
      <c r="G79" s="1"/>
      <c r="H79" s="1"/>
      <c r="I79" s="1"/>
      <c r="J79" s="1"/>
      <c r="K79" s="2"/>
      <c r="L79" s="2"/>
      <c r="M79" s="2"/>
      <c r="N79" s="2"/>
      <c r="O79" s="2"/>
      <c r="P79" s="2"/>
      <c r="Q79" s="1"/>
      <c r="R79" s="1"/>
      <c r="S79" s="1"/>
      <c r="T79" s="1"/>
      <c r="U79" s="5"/>
      <c r="V79" s="5"/>
      <c r="W79" s="5"/>
      <c r="X79" s="1"/>
      <c r="Y79" s="1"/>
      <c r="Z79" s="1"/>
      <c r="AA79" s="1"/>
      <c r="AB79" s="1"/>
      <c r="AC79" s="1"/>
      <c r="AD79" s="1"/>
      <c r="AE79" s="1"/>
      <c r="AF79" s="1"/>
      <c r="AG79" s="1"/>
      <c r="AH79" s="1"/>
      <c r="AI79" s="1"/>
      <c r="AJ79" s="1"/>
      <c r="AK79" s="1"/>
      <c r="AL79" s="1"/>
      <c r="AM79" s="1"/>
      <c r="AN79" s="1"/>
      <c r="AO79" s="1"/>
      <c r="AP79" s="1"/>
      <c r="AQ79" s="1"/>
      <c r="AR79" s="1"/>
      <c r="AS79" s="1"/>
      <c r="AT79" s="1"/>
    </row>
    <row r="80" spans="1:46" ht="18" hidden="1" customHeight="1" x14ac:dyDescent="0.3">
      <c r="A80" s="1"/>
      <c r="B80" s="1"/>
      <c r="C80" s="1"/>
      <c r="D80" s="1"/>
      <c r="E80" s="1"/>
      <c r="F80" s="1"/>
      <c r="G80" s="1"/>
      <c r="H80" s="1"/>
      <c r="I80" s="1"/>
      <c r="J80" s="1"/>
      <c r="K80" s="2"/>
      <c r="L80" s="2"/>
      <c r="M80" s="2"/>
      <c r="N80" s="2"/>
      <c r="O80" s="2"/>
      <c r="P80" s="2"/>
      <c r="Q80" s="1"/>
      <c r="R80" s="1"/>
      <c r="S80" s="1"/>
      <c r="T80" s="1"/>
      <c r="U80" s="5"/>
      <c r="V80" s="5"/>
      <c r="W80" s="5"/>
      <c r="X80" s="1"/>
      <c r="Y80" s="1"/>
      <c r="Z80" s="1"/>
      <c r="AA80" s="1"/>
      <c r="AB80" s="1"/>
      <c r="AC80" s="1"/>
      <c r="AD80" s="1"/>
      <c r="AE80" s="1"/>
      <c r="AF80" s="1"/>
      <c r="AG80" s="1"/>
      <c r="AH80" s="1"/>
      <c r="AI80" s="1"/>
      <c r="AJ80" s="1"/>
      <c r="AK80" s="1"/>
      <c r="AL80" s="1"/>
      <c r="AM80" s="1"/>
      <c r="AN80" s="1"/>
      <c r="AO80" s="1"/>
      <c r="AP80" s="1"/>
      <c r="AQ80" s="1"/>
      <c r="AR80" s="1"/>
      <c r="AS80" s="1"/>
      <c r="AT80" s="1"/>
    </row>
    <row r="81" spans="1:46" ht="18" hidden="1" customHeight="1" x14ac:dyDescent="0.3">
      <c r="A81" s="1"/>
      <c r="B81" s="1"/>
      <c r="C81" s="1"/>
      <c r="D81" s="1"/>
      <c r="E81" s="1"/>
      <c r="F81" s="1"/>
      <c r="G81" s="1"/>
      <c r="H81" s="1"/>
      <c r="I81" s="1"/>
      <c r="J81" s="1"/>
      <c r="K81" s="2"/>
      <c r="L81" s="2"/>
      <c r="M81" s="2"/>
      <c r="N81" s="2"/>
      <c r="O81" s="2"/>
      <c r="P81" s="2"/>
      <c r="Q81" s="1"/>
      <c r="R81" s="1"/>
      <c r="S81" s="1"/>
      <c r="T81" s="1"/>
      <c r="U81" s="5"/>
      <c r="V81" s="5"/>
      <c r="W81" s="5"/>
      <c r="X81" s="1"/>
      <c r="Y81" s="1"/>
      <c r="Z81" s="1"/>
      <c r="AA81" s="1"/>
      <c r="AB81" s="1"/>
      <c r="AC81" s="1"/>
      <c r="AD81" s="1"/>
      <c r="AE81" s="1"/>
      <c r="AF81" s="1"/>
      <c r="AG81" s="1"/>
      <c r="AH81" s="1"/>
      <c r="AI81" s="1"/>
      <c r="AJ81" s="1"/>
      <c r="AK81" s="1"/>
      <c r="AL81" s="1"/>
      <c r="AM81" s="1"/>
      <c r="AN81" s="1"/>
      <c r="AO81" s="1"/>
      <c r="AP81" s="1"/>
      <c r="AQ81" s="1"/>
      <c r="AR81" s="1"/>
      <c r="AS81" s="1"/>
      <c r="AT81" s="1"/>
    </row>
    <row r="82" spans="1:46" ht="18" hidden="1" customHeight="1" x14ac:dyDescent="0.3">
      <c r="A82" s="1"/>
      <c r="B82" s="1"/>
      <c r="C82" s="1"/>
      <c r="D82" s="1"/>
      <c r="E82" s="1"/>
      <c r="F82" s="1"/>
      <c r="G82" s="1"/>
      <c r="H82" s="1"/>
      <c r="I82" s="1"/>
      <c r="J82" s="1"/>
      <c r="K82" s="2"/>
      <c r="L82" s="2"/>
      <c r="M82" s="2"/>
      <c r="N82" s="2"/>
      <c r="O82" s="2"/>
      <c r="P82" s="2"/>
      <c r="Q82" s="1"/>
      <c r="R82" s="1"/>
      <c r="S82" s="1"/>
      <c r="T82" s="1"/>
      <c r="U82" s="5"/>
      <c r="V82" s="5"/>
      <c r="W82" s="5"/>
      <c r="X82" s="1"/>
      <c r="Y82" s="1"/>
      <c r="Z82" s="1"/>
      <c r="AA82" s="1"/>
      <c r="AB82" s="1"/>
      <c r="AC82" s="1"/>
      <c r="AD82" s="1"/>
      <c r="AE82" s="1"/>
      <c r="AF82" s="1"/>
      <c r="AG82" s="1"/>
      <c r="AH82" s="1"/>
      <c r="AI82" s="1"/>
      <c r="AJ82" s="1"/>
      <c r="AK82" s="1"/>
      <c r="AL82" s="1"/>
      <c r="AM82" s="1"/>
      <c r="AN82" s="1"/>
      <c r="AO82" s="1"/>
      <c r="AP82" s="1"/>
      <c r="AQ82" s="1"/>
      <c r="AR82" s="1"/>
      <c r="AS82" s="1"/>
      <c r="AT82" s="1"/>
    </row>
    <row r="83" spans="1:46" ht="18" hidden="1" customHeight="1" x14ac:dyDescent="0.3">
      <c r="A83" s="1"/>
      <c r="B83" s="1"/>
      <c r="C83" s="1"/>
      <c r="D83" s="1"/>
      <c r="E83" s="1"/>
      <c r="F83" s="1"/>
      <c r="G83" s="1"/>
      <c r="H83" s="1"/>
      <c r="I83" s="1"/>
      <c r="J83" s="1"/>
      <c r="K83" s="2"/>
      <c r="L83" s="2"/>
      <c r="M83" s="2"/>
      <c r="N83" s="2"/>
      <c r="O83" s="2"/>
      <c r="P83" s="2"/>
      <c r="Q83" s="1"/>
      <c r="R83" s="1"/>
      <c r="S83" s="1"/>
      <c r="T83" s="1"/>
      <c r="U83" s="5"/>
      <c r="V83" s="5"/>
      <c r="W83" s="5"/>
      <c r="X83" s="1"/>
      <c r="Y83" s="1"/>
      <c r="Z83" s="1"/>
      <c r="AA83" s="1"/>
      <c r="AB83" s="1"/>
      <c r="AC83" s="1"/>
      <c r="AD83" s="1"/>
      <c r="AE83" s="1"/>
      <c r="AF83" s="1"/>
      <c r="AG83" s="1"/>
      <c r="AH83" s="1"/>
      <c r="AI83" s="1"/>
      <c r="AJ83" s="1"/>
      <c r="AK83" s="1"/>
      <c r="AL83" s="1"/>
      <c r="AM83" s="1"/>
      <c r="AN83" s="1"/>
      <c r="AO83" s="1"/>
      <c r="AP83" s="1"/>
      <c r="AQ83" s="1"/>
      <c r="AR83" s="1"/>
      <c r="AS83" s="1"/>
      <c r="AT83" s="1"/>
    </row>
    <row r="84" spans="1:46" ht="18" customHeight="1" collapsed="1" x14ac:dyDescent="0.3">
      <c r="A84" s="1"/>
      <c r="B84" s="1"/>
      <c r="C84" s="1"/>
      <c r="D84" s="1"/>
      <c r="E84" s="1"/>
      <c r="F84" s="1"/>
      <c r="G84" s="1"/>
      <c r="H84" s="1"/>
      <c r="I84" s="1"/>
      <c r="J84" s="1"/>
      <c r="K84" s="2"/>
      <c r="L84" s="2"/>
      <c r="M84" s="2"/>
      <c r="N84" s="2"/>
      <c r="O84" s="2"/>
      <c r="P84" s="2"/>
      <c r="Q84" s="1"/>
      <c r="R84" s="1"/>
      <c r="S84" s="1"/>
      <c r="T84" s="1"/>
      <c r="U84" s="5"/>
      <c r="V84" s="5"/>
      <c r="W84" s="5"/>
      <c r="X84" s="1"/>
      <c r="Y84" s="1"/>
      <c r="Z84" s="1"/>
      <c r="AA84" s="1"/>
      <c r="AB84" s="1"/>
      <c r="AC84" s="1"/>
      <c r="AD84" s="1"/>
      <c r="AE84" s="1"/>
      <c r="AF84" s="1"/>
      <c r="AG84" s="1"/>
      <c r="AH84" s="1"/>
      <c r="AI84" s="1"/>
      <c r="AJ84" s="1"/>
      <c r="AK84" s="1"/>
      <c r="AL84" s="1"/>
      <c r="AM84" s="1"/>
      <c r="AN84" s="1"/>
      <c r="AO84" s="1"/>
      <c r="AP84" s="1"/>
      <c r="AQ84" s="1"/>
      <c r="AR84" s="1"/>
      <c r="AS84" s="1"/>
      <c r="AT84" s="1"/>
    </row>
    <row r="85" spans="1:46" ht="18" customHeight="1" x14ac:dyDescent="0.3">
      <c r="A85" s="1"/>
      <c r="B85" s="1"/>
      <c r="C85" s="1"/>
      <c r="D85" s="1"/>
      <c r="E85" s="1"/>
      <c r="F85" s="1"/>
      <c r="G85" s="1"/>
      <c r="H85" s="1"/>
      <c r="I85" s="1"/>
      <c r="J85" s="1"/>
      <c r="K85" s="2"/>
      <c r="L85" s="2"/>
      <c r="M85" s="2"/>
      <c r="N85" s="2"/>
      <c r="O85" s="2"/>
      <c r="P85" s="2"/>
      <c r="Q85" s="1"/>
      <c r="R85" s="1"/>
      <c r="S85" s="1"/>
      <c r="T85" s="1"/>
      <c r="U85" s="5"/>
      <c r="V85" s="5"/>
      <c r="W85" s="5"/>
      <c r="X85" s="1"/>
      <c r="Y85" s="1"/>
      <c r="Z85" s="1"/>
      <c r="AA85" s="1"/>
      <c r="AB85" s="1"/>
      <c r="AC85" s="1"/>
      <c r="AD85" s="1"/>
      <c r="AE85" s="1"/>
      <c r="AF85" s="1"/>
      <c r="AG85" s="1"/>
      <c r="AH85" s="1"/>
      <c r="AI85" s="1"/>
      <c r="AJ85" s="1"/>
      <c r="AK85" s="1"/>
      <c r="AL85" s="1"/>
      <c r="AM85" s="1"/>
      <c r="AN85" s="1"/>
      <c r="AO85" s="1"/>
      <c r="AP85" s="1"/>
      <c r="AQ85" s="1"/>
      <c r="AR85" s="1"/>
      <c r="AS85" s="1"/>
      <c r="AT85" s="1"/>
    </row>
    <row r="86" spans="1:46" ht="18" hidden="1" customHeight="1" x14ac:dyDescent="0.3">
      <c r="A86" s="1"/>
      <c r="B86" s="1"/>
      <c r="C86" s="1"/>
      <c r="D86" s="1"/>
      <c r="E86" s="1"/>
      <c r="F86" s="1"/>
      <c r="G86" s="1"/>
      <c r="H86" s="1"/>
      <c r="I86" s="1"/>
      <c r="J86" s="1"/>
      <c r="K86" s="2"/>
      <c r="L86" s="2"/>
      <c r="M86" s="2"/>
      <c r="N86" s="2"/>
      <c r="O86" s="2"/>
      <c r="P86" s="2"/>
      <c r="Q86" s="1"/>
      <c r="R86" s="1"/>
      <c r="S86" s="1"/>
      <c r="T86" s="1"/>
      <c r="U86" s="5"/>
      <c r="V86" s="5"/>
      <c r="W86" s="5"/>
      <c r="X86" s="1"/>
      <c r="Y86" s="1"/>
      <c r="Z86" s="1"/>
      <c r="AA86" s="1"/>
      <c r="AB86" s="1"/>
      <c r="AC86" s="1"/>
      <c r="AD86" s="1"/>
      <c r="AE86" s="1"/>
      <c r="AF86" s="1"/>
      <c r="AG86" s="1"/>
      <c r="AH86" s="1"/>
      <c r="AI86" s="1"/>
      <c r="AJ86" s="1"/>
      <c r="AK86" s="1"/>
      <c r="AL86" s="1"/>
      <c r="AM86" s="1"/>
      <c r="AN86" s="1"/>
      <c r="AO86" s="1"/>
      <c r="AP86" s="1"/>
      <c r="AQ86" s="1"/>
      <c r="AR86" s="1"/>
      <c r="AS86" s="1"/>
      <c r="AT86" s="1"/>
    </row>
    <row r="87" spans="1:46" ht="18" hidden="1" customHeight="1" x14ac:dyDescent="0.3">
      <c r="A87" s="1"/>
      <c r="B87" s="1"/>
      <c r="C87" s="1"/>
      <c r="D87" s="1"/>
      <c r="E87" s="1"/>
      <c r="F87" s="1"/>
      <c r="G87" s="1"/>
      <c r="H87" s="1"/>
      <c r="I87" s="1"/>
      <c r="J87" s="1"/>
      <c r="K87" s="2"/>
      <c r="L87" s="2"/>
      <c r="M87" s="2"/>
      <c r="N87" s="2"/>
      <c r="O87" s="2"/>
      <c r="P87" s="2"/>
      <c r="Q87" s="1"/>
      <c r="R87" s="1"/>
      <c r="S87" s="1"/>
      <c r="T87" s="1"/>
      <c r="U87" s="5"/>
      <c r="V87" s="5"/>
      <c r="W87" s="5"/>
      <c r="X87" s="1"/>
      <c r="Y87" s="1"/>
      <c r="Z87" s="1"/>
      <c r="AA87" s="1"/>
      <c r="AB87" s="1"/>
      <c r="AC87" s="1"/>
      <c r="AD87" s="1"/>
      <c r="AE87" s="1"/>
      <c r="AF87" s="1"/>
      <c r="AG87" s="1"/>
      <c r="AH87" s="1"/>
      <c r="AI87" s="1"/>
      <c r="AJ87" s="1"/>
      <c r="AK87" s="1"/>
      <c r="AL87" s="1"/>
      <c r="AM87" s="1"/>
      <c r="AN87" s="1"/>
      <c r="AO87" s="1"/>
      <c r="AP87" s="1"/>
      <c r="AQ87" s="1"/>
      <c r="AR87" s="1"/>
      <c r="AS87" s="1"/>
      <c r="AT87" s="1"/>
    </row>
    <row r="88" spans="1:46" ht="18" hidden="1" customHeight="1" x14ac:dyDescent="0.3">
      <c r="A88" s="1"/>
      <c r="B88" s="1"/>
      <c r="C88" s="1"/>
      <c r="D88" s="1"/>
      <c r="E88" s="1"/>
      <c r="F88" s="1"/>
      <c r="G88" s="1"/>
      <c r="H88" s="1"/>
      <c r="I88" s="1"/>
      <c r="J88" s="1"/>
      <c r="K88" s="2"/>
      <c r="L88" s="2"/>
      <c r="M88" s="2"/>
      <c r="N88" s="2"/>
      <c r="O88" s="2"/>
      <c r="P88" s="2"/>
      <c r="Q88" s="1"/>
      <c r="R88" s="1"/>
      <c r="S88" s="1"/>
      <c r="T88" s="1"/>
      <c r="U88" s="5"/>
      <c r="V88" s="5"/>
      <c r="W88" s="5"/>
      <c r="X88" s="1"/>
      <c r="Y88" s="1"/>
      <c r="Z88" s="1"/>
      <c r="AA88" s="1"/>
      <c r="AB88" s="1"/>
      <c r="AC88" s="1"/>
      <c r="AD88" s="1"/>
      <c r="AE88" s="1"/>
      <c r="AF88" s="1"/>
      <c r="AG88" s="1"/>
      <c r="AH88" s="1"/>
      <c r="AI88" s="1"/>
      <c r="AJ88" s="1"/>
      <c r="AK88" s="1"/>
      <c r="AL88" s="1"/>
      <c r="AM88" s="1"/>
      <c r="AN88" s="1"/>
      <c r="AO88" s="1"/>
      <c r="AP88" s="1"/>
      <c r="AQ88" s="1"/>
      <c r="AR88" s="1"/>
      <c r="AS88" s="1"/>
      <c r="AT88" s="1"/>
    </row>
    <row r="89" spans="1:46" ht="18" hidden="1" customHeight="1" x14ac:dyDescent="0.3">
      <c r="A89" s="1"/>
      <c r="B89" s="1"/>
      <c r="C89" s="1"/>
      <c r="D89" s="1"/>
      <c r="E89" s="1"/>
      <c r="F89" s="1"/>
      <c r="G89" s="1"/>
      <c r="H89" s="1"/>
      <c r="I89" s="1"/>
      <c r="J89" s="1"/>
      <c r="K89" s="2"/>
      <c r="L89" s="2"/>
      <c r="M89" s="2"/>
      <c r="N89" s="2"/>
      <c r="O89" s="2"/>
      <c r="P89" s="2"/>
      <c r="Q89" s="1"/>
      <c r="R89" s="1"/>
      <c r="S89" s="1"/>
      <c r="T89" s="1"/>
      <c r="U89" s="5"/>
      <c r="V89" s="5"/>
      <c r="W89" s="5"/>
      <c r="X89" s="1"/>
      <c r="Y89" s="1"/>
      <c r="Z89" s="1"/>
      <c r="AA89" s="1"/>
      <c r="AB89" s="1"/>
      <c r="AC89" s="1"/>
      <c r="AD89" s="1"/>
      <c r="AE89" s="1"/>
      <c r="AF89" s="1"/>
      <c r="AG89" s="1"/>
      <c r="AH89" s="1"/>
      <c r="AI89" s="1"/>
      <c r="AJ89" s="1"/>
      <c r="AK89" s="1"/>
      <c r="AL89" s="1"/>
      <c r="AM89" s="1"/>
      <c r="AN89" s="1"/>
      <c r="AO89" s="1"/>
      <c r="AP89" s="1"/>
      <c r="AQ89" s="1"/>
      <c r="AR89" s="1"/>
      <c r="AS89" s="1"/>
      <c r="AT89" s="1"/>
    </row>
    <row r="90" spans="1:46" ht="18" hidden="1" customHeight="1" x14ac:dyDescent="0.3">
      <c r="A90" s="1"/>
      <c r="B90" s="1"/>
      <c r="C90" s="1"/>
      <c r="D90" s="1"/>
      <c r="E90" s="1"/>
      <c r="F90" s="1"/>
      <c r="G90" s="1"/>
      <c r="H90" s="1"/>
      <c r="I90" s="1"/>
      <c r="J90" s="1"/>
      <c r="K90" s="2"/>
      <c r="L90" s="2"/>
      <c r="M90" s="2"/>
      <c r="N90" s="2"/>
      <c r="O90" s="2"/>
      <c r="P90" s="2"/>
      <c r="Q90" s="1"/>
      <c r="R90" s="1"/>
      <c r="S90" s="1"/>
      <c r="T90" s="1"/>
      <c r="U90" s="5"/>
      <c r="V90" s="5"/>
      <c r="W90" s="5"/>
      <c r="X90" s="1"/>
      <c r="Y90" s="1"/>
      <c r="Z90" s="1"/>
      <c r="AA90" s="1"/>
      <c r="AB90" s="1"/>
      <c r="AC90" s="1"/>
      <c r="AD90" s="1"/>
      <c r="AE90" s="1"/>
      <c r="AF90" s="1"/>
      <c r="AG90" s="1"/>
      <c r="AH90" s="1"/>
      <c r="AI90" s="1"/>
      <c r="AJ90" s="1"/>
      <c r="AK90" s="1"/>
      <c r="AL90" s="1"/>
      <c r="AM90" s="1"/>
      <c r="AN90" s="1"/>
      <c r="AO90" s="1"/>
      <c r="AP90" s="1"/>
      <c r="AQ90" s="1"/>
      <c r="AR90" s="1"/>
      <c r="AS90" s="1"/>
      <c r="AT90" s="1"/>
    </row>
    <row r="91" spans="1:46" ht="18" hidden="1" customHeight="1" x14ac:dyDescent="0.3">
      <c r="A91" s="1"/>
      <c r="B91" s="1"/>
      <c r="C91" s="1"/>
      <c r="D91" s="1"/>
      <c r="E91" s="1"/>
      <c r="F91" s="1"/>
      <c r="G91" s="1"/>
      <c r="H91" s="1"/>
      <c r="I91" s="1"/>
      <c r="J91" s="1"/>
      <c r="K91" s="2"/>
      <c r="L91" s="2"/>
      <c r="M91" s="2"/>
      <c r="N91" s="2"/>
      <c r="O91" s="2"/>
      <c r="P91" s="2"/>
      <c r="Q91" s="1"/>
      <c r="R91" s="1"/>
      <c r="S91" s="1"/>
      <c r="T91" s="1"/>
      <c r="U91" s="5"/>
      <c r="V91" s="5"/>
      <c r="W91" s="5"/>
      <c r="X91" s="1"/>
      <c r="Y91" s="1"/>
      <c r="Z91" s="1"/>
      <c r="AA91" s="1"/>
      <c r="AB91" s="1"/>
      <c r="AC91" s="1"/>
      <c r="AD91" s="1"/>
      <c r="AE91" s="1"/>
      <c r="AF91" s="1"/>
      <c r="AG91" s="1"/>
      <c r="AH91" s="1"/>
      <c r="AI91" s="1"/>
      <c r="AJ91" s="1"/>
      <c r="AK91" s="1"/>
      <c r="AL91" s="1"/>
      <c r="AM91" s="1"/>
      <c r="AN91" s="1"/>
      <c r="AO91" s="1"/>
      <c r="AP91" s="1"/>
      <c r="AQ91" s="1"/>
      <c r="AR91" s="1"/>
      <c r="AS91" s="1"/>
      <c r="AT91" s="1"/>
    </row>
    <row r="92" spans="1:46" ht="18" hidden="1" customHeight="1" x14ac:dyDescent="0.3">
      <c r="A92" s="1"/>
      <c r="B92" s="1"/>
      <c r="C92" s="1"/>
      <c r="D92" s="1"/>
      <c r="E92" s="1"/>
      <c r="F92" s="1"/>
      <c r="G92" s="1"/>
      <c r="H92" s="1"/>
      <c r="I92" s="1"/>
      <c r="J92" s="1"/>
      <c r="K92" s="2"/>
      <c r="L92" s="2"/>
      <c r="M92" s="2"/>
      <c r="N92" s="2"/>
      <c r="O92" s="2"/>
      <c r="P92" s="2"/>
      <c r="Q92" s="1"/>
      <c r="R92" s="1"/>
      <c r="S92" s="1"/>
      <c r="T92" s="1"/>
      <c r="U92" s="5"/>
      <c r="V92" s="5"/>
      <c r="W92" s="5"/>
      <c r="X92" s="1"/>
      <c r="Y92" s="1"/>
      <c r="Z92" s="1"/>
      <c r="AA92" s="1"/>
      <c r="AB92" s="1"/>
      <c r="AC92" s="1"/>
      <c r="AD92" s="1"/>
      <c r="AE92" s="1"/>
      <c r="AF92" s="1"/>
      <c r="AG92" s="1"/>
      <c r="AH92" s="1"/>
      <c r="AI92" s="1"/>
      <c r="AJ92" s="1"/>
      <c r="AK92" s="1"/>
      <c r="AL92" s="1"/>
      <c r="AM92" s="1"/>
      <c r="AN92" s="1"/>
      <c r="AO92" s="1"/>
      <c r="AP92" s="1"/>
      <c r="AQ92" s="1"/>
      <c r="AR92" s="1"/>
      <c r="AS92" s="1"/>
      <c r="AT92" s="1"/>
    </row>
    <row r="93" spans="1:46" ht="18" hidden="1" customHeight="1" x14ac:dyDescent="0.3">
      <c r="A93" s="1"/>
      <c r="B93" s="1"/>
      <c r="C93" s="1"/>
      <c r="D93" s="1"/>
      <c r="E93" s="1"/>
      <c r="F93" s="1"/>
      <c r="G93" s="1"/>
      <c r="H93" s="1"/>
      <c r="I93" s="1"/>
      <c r="J93" s="1"/>
      <c r="K93" s="2"/>
      <c r="L93" s="2"/>
      <c r="M93" s="2"/>
      <c r="N93" s="2"/>
      <c r="O93" s="2"/>
      <c r="P93" s="2"/>
      <c r="Q93" s="1"/>
      <c r="R93" s="1"/>
      <c r="S93" s="1"/>
      <c r="T93" s="1"/>
      <c r="U93" s="5"/>
      <c r="V93" s="5"/>
      <c r="W93" s="5"/>
      <c r="X93" s="1"/>
      <c r="Y93" s="1"/>
      <c r="Z93" s="1"/>
      <c r="AA93" s="1"/>
      <c r="AB93" s="1"/>
      <c r="AC93" s="1"/>
      <c r="AD93" s="1"/>
      <c r="AE93" s="1"/>
      <c r="AF93" s="1"/>
      <c r="AG93" s="1"/>
      <c r="AH93" s="1"/>
      <c r="AI93" s="1"/>
      <c r="AJ93" s="1"/>
      <c r="AK93" s="1"/>
      <c r="AL93" s="1"/>
      <c r="AM93" s="1"/>
      <c r="AN93" s="1"/>
      <c r="AO93" s="1"/>
      <c r="AP93" s="1"/>
      <c r="AQ93" s="1"/>
      <c r="AR93" s="1"/>
      <c r="AS93" s="1"/>
      <c r="AT93" s="1"/>
    </row>
    <row r="94" spans="1:46" ht="18" hidden="1" customHeight="1" x14ac:dyDescent="0.3">
      <c r="A94" s="1"/>
      <c r="B94" s="1"/>
      <c r="C94" s="1"/>
      <c r="D94" s="1"/>
      <c r="E94" s="1"/>
      <c r="F94" s="1"/>
      <c r="G94" s="1"/>
      <c r="H94" s="1"/>
      <c r="I94" s="1"/>
      <c r="J94" s="1"/>
      <c r="K94" s="2"/>
      <c r="L94" s="2"/>
      <c r="M94" s="2"/>
      <c r="N94" s="2"/>
      <c r="O94" s="2"/>
      <c r="P94" s="2"/>
      <c r="Q94" s="1"/>
      <c r="R94" s="1"/>
      <c r="S94" s="1"/>
      <c r="T94" s="1"/>
      <c r="U94" s="5"/>
      <c r="V94" s="5"/>
      <c r="W94" s="5"/>
      <c r="X94" s="1"/>
      <c r="Y94" s="1"/>
      <c r="Z94" s="1"/>
      <c r="AA94" s="1"/>
      <c r="AB94" s="1"/>
      <c r="AC94" s="1"/>
      <c r="AD94" s="1"/>
      <c r="AE94" s="1"/>
      <c r="AF94" s="1"/>
      <c r="AG94" s="1"/>
      <c r="AH94" s="1"/>
      <c r="AI94" s="1"/>
      <c r="AJ94" s="1"/>
      <c r="AK94" s="1"/>
      <c r="AL94" s="1"/>
      <c r="AM94" s="1"/>
      <c r="AN94" s="1"/>
      <c r="AO94" s="1"/>
      <c r="AP94" s="1"/>
      <c r="AQ94" s="1"/>
      <c r="AR94" s="1"/>
      <c r="AS94" s="1"/>
      <c r="AT94" s="1"/>
    </row>
    <row r="95" spans="1:46" ht="18" hidden="1" customHeight="1" x14ac:dyDescent="0.3">
      <c r="A95" s="1"/>
      <c r="B95" s="1"/>
      <c r="C95" s="1"/>
      <c r="D95" s="1"/>
      <c r="E95" s="1"/>
      <c r="F95" s="1"/>
      <c r="G95" s="1"/>
      <c r="H95" s="1"/>
      <c r="I95" s="1"/>
      <c r="J95" s="1"/>
      <c r="K95" s="2"/>
      <c r="L95" s="2"/>
      <c r="M95" s="2"/>
      <c r="N95" s="2"/>
      <c r="O95" s="2"/>
      <c r="P95" s="2"/>
      <c r="Q95" s="1"/>
      <c r="R95" s="1"/>
      <c r="S95" s="1"/>
      <c r="T95" s="1"/>
      <c r="U95" s="5"/>
      <c r="V95" s="5"/>
      <c r="W95" s="5"/>
      <c r="X95" s="1"/>
      <c r="Y95" s="1"/>
      <c r="Z95" s="1"/>
      <c r="AA95" s="1"/>
      <c r="AB95" s="1"/>
      <c r="AC95" s="1"/>
      <c r="AD95" s="1"/>
      <c r="AE95" s="1"/>
      <c r="AF95" s="1"/>
      <c r="AG95" s="1"/>
      <c r="AH95" s="1"/>
      <c r="AI95" s="1"/>
      <c r="AJ95" s="1"/>
      <c r="AK95" s="1"/>
      <c r="AL95" s="1"/>
      <c r="AM95" s="1"/>
      <c r="AN95" s="1"/>
      <c r="AO95" s="1"/>
      <c r="AP95" s="1"/>
      <c r="AQ95" s="1"/>
      <c r="AR95" s="1"/>
      <c r="AS95" s="1"/>
      <c r="AT95" s="1"/>
    </row>
    <row r="96" spans="1:46" ht="18" hidden="1" customHeight="1" x14ac:dyDescent="0.3">
      <c r="A96" s="1"/>
      <c r="B96" s="1"/>
      <c r="C96" s="1"/>
      <c r="D96" s="1"/>
      <c r="E96" s="1"/>
      <c r="F96" s="1"/>
      <c r="G96" s="1"/>
      <c r="H96" s="1"/>
      <c r="I96" s="1"/>
      <c r="J96" s="1"/>
      <c r="K96" s="2"/>
      <c r="L96" s="2"/>
      <c r="M96" s="2"/>
      <c r="N96" s="2"/>
      <c r="O96" s="2"/>
      <c r="P96" s="2"/>
      <c r="Q96" s="1"/>
      <c r="R96" s="1"/>
      <c r="S96" s="1"/>
      <c r="T96" s="1"/>
      <c r="U96" s="5"/>
      <c r="V96" s="5"/>
      <c r="W96" s="5"/>
      <c r="X96" s="1"/>
      <c r="Y96" s="1"/>
      <c r="Z96" s="1"/>
      <c r="AA96" s="1"/>
      <c r="AB96" s="1"/>
      <c r="AC96" s="1"/>
      <c r="AD96" s="1"/>
      <c r="AE96" s="1"/>
      <c r="AF96" s="1"/>
      <c r="AG96" s="1"/>
      <c r="AH96" s="1"/>
      <c r="AI96" s="1"/>
      <c r="AJ96" s="1"/>
      <c r="AK96" s="1"/>
      <c r="AL96" s="1"/>
      <c r="AM96" s="1"/>
      <c r="AN96" s="1"/>
      <c r="AO96" s="1"/>
      <c r="AP96" s="1"/>
      <c r="AQ96" s="1"/>
      <c r="AR96" s="1"/>
      <c r="AS96" s="1"/>
      <c r="AT96" s="1"/>
    </row>
    <row r="97" spans="1:46" ht="18" hidden="1" customHeight="1" x14ac:dyDescent="0.3">
      <c r="A97" s="1"/>
      <c r="B97" s="1"/>
      <c r="C97" s="1"/>
      <c r="D97" s="1"/>
      <c r="E97" s="1"/>
      <c r="F97" s="1"/>
      <c r="G97" s="1"/>
      <c r="H97" s="1"/>
      <c r="I97" s="1"/>
      <c r="J97" s="1"/>
      <c r="K97" s="2"/>
      <c r="L97" s="2"/>
      <c r="M97" s="2"/>
      <c r="N97" s="2"/>
      <c r="O97" s="2"/>
      <c r="P97" s="2"/>
      <c r="Q97" s="1"/>
      <c r="R97" s="1"/>
      <c r="S97" s="1"/>
      <c r="T97" s="1"/>
      <c r="U97" s="5"/>
      <c r="V97" s="5"/>
      <c r="W97" s="5"/>
      <c r="X97" s="1"/>
      <c r="Y97" s="1"/>
      <c r="Z97" s="1"/>
      <c r="AA97" s="1"/>
      <c r="AB97" s="1"/>
      <c r="AC97" s="1"/>
      <c r="AD97" s="1"/>
      <c r="AE97" s="1"/>
      <c r="AF97" s="1"/>
      <c r="AG97" s="1"/>
      <c r="AH97" s="1"/>
      <c r="AI97" s="1"/>
      <c r="AJ97" s="1"/>
      <c r="AK97" s="1"/>
      <c r="AL97" s="1"/>
      <c r="AM97" s="1"/>
      <c r="AN97" s="1"/>
      <c r="AO97" s="1"/>
      <c r="AP97" s="1"/>
      <c r="AQ97" s="1"/>
      <c r="AR97" s="1"/>
      <c r="AS97" s="1"/>
      <c r="AT97" s="1"/>
    </row>
    <row r="98" spans="1:46" ht="18" hidden="1" customHeight="1" x14ac:dyDescent="0.3">
      <c r="A98" s="1"/>
      <c r="B98" s="1"/>
      <c r="C98" s="1"/>
      <c r="D98" s="1"/>
      <c r="E98" s="1"/>
      <c r="F98" s="1"/>
      <c r="G98" s="1"/>
      <c r="H98" s="1"/>
      <c r="I98" s="1"/>
      <c r="J98" s="1"/>
      <c r="K98" s="2"/>
      <c r="L98" s="2"/>
      <c r="M98" s="2"/>
      <c r="N98" s="2"/>
      <c r="O98" s="2"/>
      <c r="P98" s="2"/>
      <c r="Q98" s="1"/>
      <c r="R98" s="1"/>
      <c r="S98" s="1"/>
      <c r="T98" s="1"/>
      <c r="U98" s="5"/>
      <c r="V98" s="5"/>
      <c r="W98" s="5"/>
      <c r="X98" s="1"/>
      <c r="Y98" s="1"/>
      <c r="Z98" s="1"/>
      <c r="AA98" s="1"/>
      <c r="AB98" s="1"/>
      <c r="AC98" s="1"/>
      <c r="AD98" s="1"/>
      <c r="AE98" s="1"/>
      <c r="AF98" s="1"/>
      <c r="AG98" s="1"/>
      <c r="AH98" s="1"/>
      <c r="AI98" s="1"/>
      <c r="AJ98" s="1"/>
      <c r="AK98" s="1"/>
      <c r="AL98" s="1"/>
      <c r="AM98" s="1"/>
      <c r="AN98" s="1"/>
      <c r="AO98" s="1"/>
      <c r="AP98" s="1"/>
      <c r="AQ98" s="1"/>
      <c r="AR98" s="1"/>
      <c r="AS98" s="1"/>
      <c r="AT98" s="1"/>
    </row>
    <row r="99" spans="1:46" ht="18" hidden="1" customHeight="1" x14ac:dyDescent="0.3">
      <c r="A99" s="1"/>
      <c r="B99" s="1"/>
      <c r="C99" s="1"/>
      <c r="D99" s="1"/>
      <c r="E99" s="1"/>
      <c r="F99" s="1"/>
      <c r="G99" s="1"/>
      <c r="H99" s="1"/>
      <c r="I99" s="1"/>
      <c r="J99" s="1"/>
      <c r="K99" s="2"/>
      <c r="L99" s="2"/>
      <c r="M99" s="2"/>
      <c r="N99" s="2"/>
      <c r="O99" s="2"/>
      <c r="P99" s="2"/>
      <c r="Q99" s="1"/>
      <c r="R99" s="1"/>
      <c r="S99" s="1"/>
      <c r="T99" s="1"/>
      <c r="U99" s="5"/>
      <c r="V99" s="5"/>
      <c r="W99" s="5"/>
      <c r="X99" s="1"/>
      <c r="Y99" s="1"/>
      <c r="Z99" s="1"/>
      <c r="AA99" s="1"/>
      <c r="AB99" s="1"/>
      <c r="AC99" s="1"/>
      <c r="AD99" s="1"/>
      <c r="AE99" s="1"/>
      <c r="AF99" s="1"/>
      <c r="AG99" s="1"/>
      <c r="AH99" s="1"/>
      <c r="AI99" s="1"/>
      <c r="AJ99" s="1"/>
      <c r="AK99" s="1"/>
      <c r="AL99" s="1"/>
      <c r="AM99" s="1"/>
      <c r="AN99" s="1"/>
      <c r="AO99" s="1"/>
      <c r="AP99" s="1"/>
      <c r="AQ99" s="1"/>
      <c r="AR99" s="1"/>
      <c r="AS99" s="1"/>
      <c r="AT99" s="1"/>
    </row>
    <row r="100" spans="1:46" ht="18" hidden="1" customHeight="1" x14ac:dyDescent="0.3">
      <c r="A100" s="1"/>
      <c r="B100" s="1"/>
      <c r="C100" s="1"/>
      <c r="D100" s="1"/>
      <c r="E100" s="1"/>
      <c r="F100" s="1"/>
      <c r="G100" s="1"/>
      <c r="H100" s="1"/>
      <c r="I100" s="1"/>
      <c r="J100" s="1"/>
      <c r="K100" s="2"/>
      <c r="L100" s="2"/>
      <c r="M100" s="2"/>
      <c r="N100" s="2"/>
      <c r="O100" s="2"/>
      <c r="P100" s="2"/>
      <c r="Q100" s="1"/>
      <c r="R100" s="1"/>
      <c r="S100" s="1"/>
      <c r="T100" s="1"/>
      <c r="U100" s="5"/>
      <c r="V100" s="5"/>
      <c r="W100" s="5"/>
      <c r="X100" s="1"/>
      <c r="Y100" s="1"/>
      <c r="Z100" s="1"/>
      <c r="AA100" s="1"/>
      <c r="AB100" s="1"/>
      <c r="AC100" s="1"/>
      <c r="AD100" s="1"/>
      <c r="AE100" s="1"/>
      <c r="AF100" s="1"/>
      <c r="AG100" s="1"/>
      <c r="AH100" s="1"/>
      <c r="AI100" s="1"/>
      <c r="AJ100" s="1"/>
      <c r="AK100" s="1"/>
      <c r="AL100" s="1"/>
      <c r="AM100" s="1"/>
      <c r="AN100" s="1"/>
      <c r="AO100" s="1"/>
      <c r="AP100" s="1"/>
      <c r="AQ100" s="1"/>
      <c r="AR100" s="1"/>
      <c r="AS100" s="1"/>
      <c r="AT100" s="1"/>
    </row>
    <row r="101" spans="1:46" ht="18" hidden="1" customHeight="1" x14ac:dyDescent="0.3">
      <c r="A101" s="1"/>
      <c r="B101" s="1"/>
      <c r="C101" s="1"/>
      <c r="D101" s="1"/>
      <c r="E101" s="1"/>
      <c r="F101" s="1"/>
      <c r="G101" s="1"/>
      <c r="H101" s="1"/>
      <c r="I101" s="1"/>
      <c r="J101" s="1"/>
      <c r="K101" s="2"/>
      <c r="L101" s="2"/>
      <c r="M101" s="2"/>
      <c r="N101" s="2"/>
      <c r="O101" s="2"/>
      <c r="P101" s="2"/>
      <c r="Q101" s="1"/>
      <c r="R101" s="1"/>
      <c r="S101" s="1"/>
      <c r="T101" s="1"/>
      <c r="U101" s="5"/>
      <c r="V101" s="5"/>
      <c r="W101" s="5"/>
      <c r="X101" s="1"/>
      <c r="Y101" s="1"/>
      <c r="Z101" s="1"/>
      <c r="AA101" s="1"/>
      <c r="AB101" s="1"/>
      <c r="AC101" s="1"/>
      <c r="AD101" s="1"/>
      <c r="AE101" s="1"/>
      <c r="AF101" s="1"/>
      <c r="AG101" s="1"/>
      <c r="AH101" s="1"/>
      <c r="AI101" s="1"/>
      <c r="AJ101" s="1"/>
      <c r="AK101" s="1"/>
      <c r="AL101" s="1"/>
      <c r="AM101" s="1"/>
      <c r="AN101" s="1"/>
      <c r="AO101" s="1"/>
      <c r="AP101" s="1"/>
      <c r="AQ101" s="1"/>
      <c r="AR101" s="1"/>
      <c r="AS101" s="1"/>
      <c r="AT101" s="1"/>
    </row>
    <row r="102" spans="1:46" ht="18" hidden="1" customHeight="1" x14ac:dyDescent="0.3">
      <c r="A102" s="1"/>
      <c r="B102" s="1"/>
      <c r="C102" s="1"/>
      <c r="D102" s="1"/>
      <c r="E102" s="1"/>
      <c r="F102" s="1"/>
      <c r="G102" s="1"/>
      <c r="H102" s="1"/>
      <c r="I102" s="1"/>
      <c r="J102" s="1"/>
      <c r="K102" s="2"/>
      <c r="L102" s="2"/>
      <c r="M102" s="2"/>
      <c r="N102" s="2"/>
      <c r="O102" s="2"/>
      <c r="P102" s="2"/>
      <c r="Q102" s="1"/>
      <c r="R102" s="1"/>
      <c r="S102" s="1"/>
      <c r="T102" s="1"/>
      <c r="U102" s="5"/>
      <c r="V102" s="5"/>
      <c r="W102" s="5"/>
      <c r="X102" s="1"/>
      <c r="Y102" s="1"/>
      <c r="Z102" s="1"/>
      <c r="AA102" s="1"/>
      <c r="AB102" s="1"/>
      <c r="AC102" s="1"/>
      <c r="AD102" s="1"/>
      <c r="AE102" s="1"/>
      <c r="AF102" s="1"/>
      <c r="AG102" s="1"/>
      <c r="AH102" s="1"/>
      <c r="AI102" s="1"/>
      <c r="AJ102" s="1"/>
      <c r="AK102" s="1"/>
      <c r="AL102" s="1"/>
      <c r="AM102" s="1"/>
      <c r="AN102" s="1"/>
      <c r="AO102" s="1"/>
      <c r="AP102" s="1"/>
      <c r="AQ102" s="1"/>
      <c r="AR102" s="1"/>
      <c r="AS102" s="1"/>
      <c r="AT102" s="1"/>
    </row>
    <row r="103" spans="1:46" ht="18" hidden="1" customHeight="1" x14ac:dyDescent="0.3">
      <c r="A103" s="1"/>
      <c r="B103" s="1"/>
      <c r="C103" s="1"/>
      <c r="D103" s="1"/>
      <c r="E103" s="1"/>
      <c r="F103" s="1"/>
      <c r="G103" s="1"/>
      <c r="H103" s="1"/>
      <c r="I103" s="1"/>
      <c r="J103" s="1"/>
      <c r="K103" s="2"/>
      <c r="L103" s="2"/>
      <c r="M103" s="2"/>
      <c r="N103" s="2"/>
      <c r="O103" s="2"/>
      <c r="P103" s="2"/>
      <c r="Q103" s="1"/>
      <c r="R103" s="1"/>
      <c r="S103" s="1"/>
      <c r="T103" s="1"/>
      <c r="U103" s="5"/>
      <c r="V103" s="5"/>
      <c r="W103" s="5"/>
      <c r="X103" s="1"/>
      <c r="Y103" s="1"/>
      <c r="Z103" s="1"/>
      <c r="AA103" s="1"/>
      <c r="AB103" s="1"/>
      <c r="AC103" s="1"/>
      <c r="AD103" s="1"/>
      <c r="AE103" s="1"/>
      <c r="AF103" s="1"/>
      <c r="AG103" s="1"/>
      <c r="AH103" s="1"/>
      <c r="AI103" s="1"/>
      <c r="AJ103" s="1"/>
      <c r="AK103" s="1"/>
      <c r="AL103" s="1"/>
      <c r="AM103" s="1"/>
      <c r="AN103" s="1"/>
      <c r="AO103" s="1"/>
      <c r="AP103" s="1"/>
      <c r="AQ103" s="1"/>
      <c r="AR103" s="1"/>
      <c r="AS103" s="1"/>
      <c r="AT103" s="1"/>
    </row>
    <row r="104" spans="1:46" ht="18" customHeight="1" collapsed="1" x14ac:dyDescent="0.3">
      <c r="A104" s="1"/>
      <c r="B104" s="1"/>
      <c r="C104" s="1"/>
      <c r="D104" s="1"/>
      <c r="E104" s="1"/>
      <c r="F104" s="1"/>
      <c r="G104" s="1"/>
      <c r="H104" s="1"/>
      <c r="I104" s="1"/>
      <c r="J104" s="1"/>
      <c r="K104" s="2"/>
      <c r="L104" s="2"/>
      <c r="M104" s="2"/>
      <c r="N104" s="2"/>
      <c r="O104" s="2"/>
      <c r="P104" s="2"/>
      <c r="Q104" s="1"/>
      <c r="R104" s="1"/>
      <c r="S104" s="1"/>
      <c r="T104" s="1"/>
      <c r="U104" s="5"/>
      <c r="V104" s="5"/>
      <c r="W104" s="5"/>
      <c r="X104" s="1"/>
      <c r="Y104" s="1"/>
      <c r="Z104" s="1"/>
      <c r="AA104" s="1"/>
      <c r="AB104" s="1"/>
      <c r="AC104" s="1"/>
      <c r="AD104" s="1"/>
      <c r="AE104" s="1"/>
      <c r="AF104" s="1"/>
      <c r="AG104" s="1"/>
      <c r="AH104" s="1"/>
      <c r="AI104" s="1"/>
      <c r="AJ104" s="1"/>
      <c r="AK104" s="1"/>
      <c r="AL104" s="1"/>
      <c r="AM104" s="1"/>
      <c r="AN104" s="1"/>
      <c r="AO104" s="1"/>
      <c r="AP104" s="1"/>
      <c r="AQ104" s="1"/>
      <c r="AR104" s="1"/>
      <c r="AS104" s="1"/>
      <c r="AT104" s="1"/>
    </row>
    <row r="105" spans="1:46" ht="18" customHeight="1" x14ac:dyDescent="0.3">
      <c r="A105" s="1"/>
      <c r="B105" s="1"/>
      <c r="C105" s="1"/>
      <c r="D105" s="1"/>
      <c r="E105" s="1"/>
      <c r="F105" s="1"/>
      <c r="G105" s="1"/>
      <c r="H105" s="1"/>
      <c r="I105" s="1"/>
      <c r="J105" s="1"/>
      <c r="K105" s="2"/>
      <c r="L105" s="2"/>
      <c r="M105" s="2"/>
      <c r="N105" s="2"/>
      <c r="O105" s="2"/>
      <c r="P105" s="2"/>
      <c r="Q105" s="1"/>
      <c r="R105" s="1"/>
      <c r="S105" s="1"/>
      <c r="T105" s="1"/>
      <c r="U105" s="5"/>
      <c r="V105" s="5"/>
      <c r="W105" s="5"/>
      <c r="X105" s="1"/>
      <c r="Y105" s="1"/>
      <c r="Z105" s="1"/>
      <c r="AA105" s="1"/>
      <c r="AB105" s="1"/>
      <c r="AC105" s="1"/>
      <c r="AD105" s="1"/>
      <c r="AE105" s="1"/>
      <c r="AF105" s="1"/>
      <c r="AG105" s="1"/>
      <c r="AH105" s="1"/>
      <c r="AI105" s="1"/>
      <c r="AJ105" s="1"/>
      <c r="AK105" s="1"/>
      <c r="AL105" s="1"/>
      <c r="AM105" s="1"/>
      <c r="AN105" s="1"/>
      <c r="AO105" s="1"/>
      <c r="AP105" s="1"/>
      <c r="AQ105" s="1"/>
      <c r="AR105" s="1"/>
      <c r="AS105" s="1"/>
      <c r="AT105" s="1"/>
    </row>
    <row r="106" spans="1:46" ht="18" customHeight="1" x14ac:dyDescent="0.3">
      <c r="A106" s="1"/>
      <c r="B106" s="1"/>
      <c r="C106" s="1"/>
      <c r="D106" s="1"/>
      <c r="E106" s="1"/>
      <c r="F106" s="1"/>
      <c r="G106" s="1"/>
      <c r="H106" s="1"/>
      <c r="I106" s="1"/>
      <c r="J106" s="1"/>
      <c r="K106" s="2"/>
      <c r="L106" s="2"/>
      <c r="M106" s="2"/>
      <c r="N106" s="2"/>
      <c r="O106" s="2"/>
      <c r="P106" s="2"/>
      <c r="Q106" s="1"/>
      <c r="R106" s="1"/>
      <c r="S106" s="1"/>
      <c r="T106" s="1"/>
      <c r="U106" s="5"/>
      <c r="V106" s="5"/>
      <c r="W106" s="5"/>
      <c r="X106" s="1"/>
      <c r="Y106" s="1"/>
      <c r="Z106" s="1"/>
      <c r="AA106" s="1"/>
      <c r="AB106" s="1"/>
      <c r="AC106" s="1"/>
      <c r="AD106" s="1"/>
      <c r="AE106" s="1"/>
      <c r="AF106" s="1"/>
      <c r="AG106" s="1"/>
      <c r="AH106" s="1"/>
      <c r="AI106" s="1"/>
      <c r="AJ106" s="1"/>
      <c r="AK106" s="1"/>
      <c r="AL106" s="1"/>
      <c r="AM106" s="1"/>
      <c r="AN106" s="1"/>
      <c r="AO106" s="1"/>
      <c r="AP106" s="1"/>
      <c r="AQ106" s="1"/>
      <c r="AR106" s="1"/>
      <c r="AS106" s="1"/>
      <c r="AT106" s="1"/>
    </row>
    <row r="107" spans="1:46" ht="18" customHeight="1" x14ac:dyDescent="0.3">
      <c r="A107" s="1"/>
      <c r="B107" s="1"/>
      <c r="C107" s="1"/>
      <c r="D107" s="1"/>
      <c r="E107" s="1"/>
      <c r="F107" s="1"/>
      <c r="G107" s="1"/>
      <c r="H107" s="1"/>
      <c r="I107" s="1"/>
      <c r="J107" s="1"/>
      <c r="K107" s="2"/>
      <c r="L107" s="2"/>
      <c r="M107" s="2"/>
      <c r="N107" s="2"/>
      <c r="O107" s="2"/>
      <c r="P107" s="2"/>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row>
    <row r="108" spans="1:46" ht="18" customHeight="1" x14ac:dyDescent="0.3">
      <c r="A108" s="1"/>
      <c r="B108" s="1"/>
      <c r="C108" s="1"/>
      <c r="D108" s="1"/>
      <c r="E108" s="1"/>
      <c r="F108" s="1"/>
      <c r="G108" s="1"/>
      <c r="H108" s="1"/>
      <c r="I108" s="1"/>
      <c r="J108" s="1"/>
      <c r="K108" s="2"/>
      <c r="L108" s="2"/>
      <c r="M108" s="2"/>
      <c r="N108" s="2"/>
      <c r="O108" s="2"/>
      <c r="P108" s="2"/>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row>
    <row r="109" spans="1:46" ht="18" customHeight="1" collapsed="1" x14ac:dyDescent="0.3">
      <c r="A109" s="1"/>
      <c r="B109" s="1"/>
      <c r="C109" s="1"/>
      <c r="D109" s="1"/>
      <c r="E109" s="1"/>
      <c r="F109" s="1"/>
      <c r="G109" s="1"/>
      <c r="H109" s="1"/>
      <c r="I109" s="1"/>
      <c r="J109" s="1"/>
      <c r="K109" s="2"/>
      <c r="L109" s="2"/>
      <c r="M109" s="2"/>
      <c r="N109" s="2"/>
      <c r="O109" s="2"/>
      <c r="P109" s="2"/>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row>
    <row r="110" spans="1:46" ht="18" customHeight="1" x14ac:dyDescent="0.3">
      <c r="A110" s="1"/>
      <c r="B110" s="1"/>
      <c r="C110" s="1"/>
      <c r="D110" s="1"/>
      <c r="E110" s="1"/>
      <c r="F110" s="1"/>
      <c r="G110" s="1"/>
      <c r="H110" s="1"/>
      <c r="I110" s="1"/>
      <c r="J110" s="1"/>
      <c r="K110" s="2"/>
      <c r="L110" s="2"/>
      <c r="M110" s="2"/>
      <c r="N110" s="2"/>
      <c r="O110" s="2"/>
      <c r="P110" s="2"/>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row>
    <row r="111" spans="1:46" ht="18" customHeight="1" x14ac:dyDescent="0.3">
      <c r="A111" s="1"/>
      <c r="B111" s="1"/>
      <c r="C111" s="1"/>
      <c r="D111" s="1"/>
      <c r="E111" s="1"/>
      <c r="F111" s="1"/>
      <c r="G111" s="1"/>
      <c r="H111" s="1"/>
      <c r="I111" s="1"/>
      <c r="J111" s="1"/>
      <c r="K111" s="2"/>
      <c r="L111" s="2"/>
      <c r="M111" s="2"/>
      <c r="N111" s="2"/>
      <c r="O111" s="2"/>
      <c r="P111" s="2"/>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row>
    <row r="112" spans="1:46" ht="18" customHeight="1" x14ac:dyDescent="0.3">
      <c r="A112" s="1"/>
      <c r="B112" s="1"/>
      <c r="C112" s="1"/>
      <c r="D112" s="1"/>
      <c r="E112" s="1"/>
      <c r="F112" s="1"/>
      <c r="G112" s="1"/>
      <c r="H112" s="1"/>
      <c r="I112" s="1"/>
      <c r="J112" s="1"/>
      <c r="K112" s="2"/>
      <c r="L112" s="2"/>
      <c r="M112" s="2"/>
      <c r="N112" s="2"/>
      <c r="O112" s="2"/>
      <c r="P112" s="2"/>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row>
    <row r="113" spans="1:46" ht="18" customHeight="1" x14ac:dyDescent="0.3">
      <c r="A113" s="1"/>
      <c r="B113" s="1"/>
      <c r="C113" s="1"/>
      <c r="D113" s="1"/>
      <c r="E113" s="1"/>
      <c r="F113" s="1"/>
      <c r="G113" s="1"/>
      <c r="H113" s="1"/>
      <c r="I113" s="1"/>
      <c r="J113" s="1"/>
      <c r="K113" s="2"/>
      <c r="L113" s="2"/>
      <c r="M113" s="2"/>
      <c r="N113" s="2"/>
      <c r="O113" s="2"/>
      <c r="P113" s="2"/>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row>
    <row r="114" spans="1:46" ht="18" customHeight="1" x14ac:dyDescent="0.3">
      <c r="A114" s="1"/>
      <c r="B114" s="1"/>
      <c r="C114" s="1"/>
      <c r="D114" s="1"/>
      <c r="E114" s="1"/>
      <c r="F114" s="1"/>
      <c r="G114" s="1"/>
      <c r="H114" s="1"/>
      <c r="I114" s="1"/>
      <c r="J114" s="1"/>
      <c r="K114" s="2"/>
      <c r="L114" s="2"/>
      <c r="M114" s="2"/>
      <c r="N114" s="2"/>
      <c r="O114" s="2"/>
      <c r="P114" s="2"/>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row>
    <row r="115" spans="1:46" ht="18" customHeight="1" x14ac:dyDescent="0.3">
      <c r="A115" s="1"/>
      <c r="B115" s="21"/>
      <c r="C115" s="11"/>
      <c r="D115" s="11"/>
      <c r="E115" s="11"/>
      <c r="F115" s="11"/>
      <c r="G115" s="11"/>
      <c r="H115" s="11"/>
      <c r="I115" s="11"/>
      <c r="J115" s="11"/>
      <c r="K115" s="2"/>
      <c r="L115" s="2"/>
      <c r="M115" s="2"/>
      <c r="N115" s="2"/>
      <c r="O115" s="2"/>
      <c r="P115" s="2"/>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row>
    <row r="116" spans="1:46" ht="18" customHeight="1" collapsed="1" x14ac:dyDescent="0.3">
      <c r="A116" s="1"/>
      <c r="B116" s="21"/>
      <c r="C116" s="11"/>
      <c r="D116" s="11"/>
      <c r="E116" s="11"/>
      <c r="F116" s="11"/>
      <c r="G116" s="11"/>
      <c r="H116" s="11"/>
      <c r="I116" s="11"/>
      <c r="J116" s="11"/>
      <c r="K116" s="2"/>
      <c r="L116" s="2"/>
      <c r="M116" s="2"/>
      <c r="N116" s="2"/>
      <c r="O116" s="2"/>
      <c r="P116" s="2"/>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row>
    <row r="117" spans="1:46" ht="18" customHeight="1" x14ac:dyDescent="0.3">
      <c r="A117" s="1"/>
      <c r="B117" s="21"/>
      <c r="C117" s="11"/>
      <c r="D117" s="11"/>
      <c r="E117" s="11"/>
      <c r="F117" s="11"/>
      <c r="G117" s="11"/>
      <c r="H117" s="11"/>
      <c r="I117" s="11"/>
      <c r="J117" s="11"/>
      <c r="K117" s="2"/>
      <c r="L117" s="2"/>
      <c r="M117" s="2"/>
      <c r="N117" s="2"/>
      <c r="O117" s="2"/>
      <c r="P117" s="2"/>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row>
    <row r="118" spans="1:46" ht="18" customHeight="1" x14ac:dyDescent="0.3">
      <c r="A118" s="1"/>
      <c r="B118" s="21"/>
      <c r="C118" s="11"/>
      <c r="D118" s="11"/>
      <c r="E118" s="11"/>
      <c r="F118" s="11"/>
      <c r="G118" s="11"/>
      <c r="H118" s="11"/>
      <c r="I118" s="11"/>
      <c r="J118" s="11"/>
      <c r="K118" s="2"/>
      <c r="L118" s="2"/>
      <c r="M118" s="2"/>
      <c r="N118" s="2"/>
      <c r="O118" s="2"/>
      <c r="P118" s="2"/>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row>
    <row r="119" spans="1:46" ht="18" customHeight="1" collapsed="1" x14ac:dyDescent="0.3">
      <c r="A119" s="1"/>
      <c r="B119" s="21"/>
      <c r="C119" s="11"/>
      <c r="D119" s="11"/>
      <c r="E119" s="11"/>
      <c r="F119" s="11"/>
      <c r="G119" s="11"/>
      <c r="H119" s="11"/>
      <c r="I119" s="11"/>
      <c r="J119" s="11"/>
      <c r="K119" s="2"/>
      <c r="L119" s="2"/>
      <c r="M119" s="2"/>
      <c r="N119" s="2"/>
      <c r="O119" s="2"/>
      <c r="P119" s="2"/>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row>
    <row r="120" spans="1:46" ht="18" customHeight="1" x14ac:dyDescent="0.3">
      <c r="A120" s="1"/>
      <c r="B120" s="21"/>
      <c r="C120" s="11"/>
      <c r="D120" s="11"/>
      <c r="E120" s="11"/>
      <c r="F120" s="11"/>
      <c r="G120" s="11"/>
      <c r="H120" s="11"/>
      <c r="I120" s="11"/>
      <c r="J120" s="11"/>
      <c r="K120" s="2"/>
      <c r="L120" s="2"/>
      <c r="M120" s="2"/>
      <c r="N120" s="2"/>
      <c r="O120" s="2"/>
      <c r="P120" s="2"/>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row>
    <row r="121" spans="1:46" ht="18" customHeight="1" x14ac:dyDescent="0.3">
      <c r="A121" s="1"/>
      <c r="B121" s="21"/>
      <c r="C121" s="11"/>
      <c r="D121" s="11"/>
      <c r="E121" s="11"/>
      <c r="F121" s="11"/>
      <c r="G121" s="11"/>
      <c r="H121" s="11"/>
      <c r="I121" s="11"/>
      <c r="J121" s="11"/>
      <c r="K121" s="2"/>
      <c r="L121" s="2"/>
      <c r="M121" s="2"/>
      <c r="N121" s="2"/>
      <c r="O121" s="2"/>
      <c r="P121" s="2"/>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row>
    <row r="122" spans="1:46" ht="18" customHeight="1" x14ac:dyDescent="0.3">
      <c r="A122" s="1"/>
      <c r="B122" s="21"/>
      <c r="C122" s="11"/>
      <c r="D122" s="11"/>
      <c r="E122" s="11"/>
      <c r="F122" s="11"/>
      <c r="G122" s="11"/>
      <c r="H122" s="11"/>
      <c r="I122" s="11"/>
      <c r="J122" s="11"/>
      <c r="K122" s="2"/>
      <c r="L122" s="2"/>
      <c r="M122" s="2"/>
      <c r="N122" s="2"/>
      <c r="O122" s="2"/>
      <c r="P122" s="2"/>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row>
    <row r="123" spans="1:46" ht="18" customHeight="1" x14ac:dyDescent="0.3">
      <c r="A123" s="1"/>
      <c r="B123" s="21"/>
      <c r="C123" s="11"/>
      <c r="D123" s="11"/>
      <c r="E123" s="11"/>
      <c r="F123" s="11"/>
      <c r="G123" s="11"/>
      <c r="H123" s="11"/>
      <c r="I123" s="11"/>
      <c r="J123" s="11"/>
      <c r="K123" s="2"/>
      <c r="L123" s="2"/>
      <c r="M123" s="2"/>
      <c r="N123" s="2"/>
      <c r="O123" s="2"/>
      <c r="P123" s="2"/>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row>
    <row r="124" spans="1:46" ht="18" customHeight="1" x14ac:dyDescent="0.3">
      <c r="A124" s="1"/>
      <c r="B124" s="21"/>
      <c r="C124" s="11"/>
      <c r="D124" s="11"/>
      <c r="E124" s="11"/>
      <c r="F124" s="11"/>
      <c r="G124" s="11"/>
      <c r="H124" s="11"/>
      <c r="I124" s="11"/>
      <c r="J124" s="11"/>
      <c r="K124" s="2"/>
      <c r="L124" s="2"/>
      <c r="M124" s="2"/>
      <c r="N124" s="2"/>
      <c r="O124" s="2"/>
      <c r="P124" s="2"/>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row>
    <row r="125" spans="1:46" ht="18" customHeight="1" collapsed="1" x14ac:dyDescent="0.3">
      <c r="A125" s="1"/>
      <c r="B125" s="21"/>
      <c r="C125" s="11"/>
      <c r="D125" s="11"/>
      <c r="E125" s="11"/>
      <c r="F125" s="11"/>
      <c r="G125" s="11"/>
      <c r="H125" s="11"/>
      <c r="I125" s="11"/>
      <c r="J125" s="11"/>
      <c r="K125" s="2"/>
      <c r="L125" s="2"/>
      <c r="M125" s="2"/>
      <c r="N125" s="2"/>
      <c r="O125" s="2"/>
      <c r="P125" s="2"/>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row>
    <row r="126" spans="1:46" ht="18" customHeight="1" x14ac:dyDescent="0.3">
      <c r="A126" s="1"/>
      <c r="B126" s="21"/>
      <c r="C126" s="11"/>
      <c r="D126" s="11"/>
      <c r="E126" s="11"/>
      <c r="F126" s="11"/>
      <c r="G126" s="11"/>
      <c r="H126" s="11"/>
      <c r="I126" s="11"/>
      <c r="J126" s="11"/>
      <c r="K126" s="2"/>
      <c r="L126" s="2"/>
      <c r="M126" s="2"/>
      <c r="N126" s="2"/>
      <c r="O126" s="2"/>
      <c r="P126" s="2"/>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row>
    <row r="127" spans="1:46" ht="18" customHeight="1" x14ac:dyDescent="0.3">
      <c r="A127" s="1"/>
      <c r="B127" s="21"/>
      <c r="C127" s="11"/>
      <c r="D127" s="11"/>
      <c r="E127" s="11"/>
      <c r="F127" s="11"/>
      <c r="G127" s="11"/>
      <c r="H127" s="11"/>
      <c r="I127" s="11"/>
      <c r="J127" s="11"/>
      <c r="K127" s="2"/>
      <c r="L127" s="2"/>
      <c r="M127" s="2"/>
      <c r="N127" s="2"/>
      <c r="O127" s="2"/>
      <c r="P127" s="2"/>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row>
    <row r="128" spans="1:46" ht="18" customHeight="1" x14ac:dyDescent="0.3">
      <c r="A128" s="1"/>
      <c r="B128" s="21"/>
      <c r="C128" s="11"/>
      <c r="D128" s="11"/>
      <c r="E128" s="11"/>
      <c r="F128" s="11"/>
      <c r="G128" s="11"/>
      <c r="H128" s="11"/>
      <c r="I128" s="11"/>
      <c r="J128" s="11"/>
      <c r="K128" s="2"/>
      <c r="L128" s="2"/>
      <c r="M128" s="2"/>
      <c r="N128" s="2"/>
      <c r="O128" s="2"/>
      <c r="P128" s="2"/>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row>
    <row r="129" spans="1:46" ht="18" customHeight="1" x14ac:dyDescent="0.3">
      <c r="A129" s="1"/>
      <c r="B129" s="21"/>
      <c r="C129" s="11"/>
      <c r="D129" s="11"/>
      <c r="E129" s="11"/>
      <c r="F129" s="11"/>
      <c r="G129" s="11"/>
      <c r="H129" s="11"/>
      <c r="I129" s="11"/>
      <c r="J129" s="11"/>
      <c r="K129" s="2"/>
      <c r="L129" s="2"/>
      <c r="M129" s="2"/>
      <c r="N129" s="2"/>
      <c r="O129" s="2"/>
      <c r="P129" s="2"/>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row>
    <row r="130" spans="1:46" ht="18" customHeight="1" collapsed="1" x14ac:dyDescent="0.3">
      <c r="A130" s="1"/>
      <c r="B130" s="21"/>
      <c r="C130" s="11"/>
      <c r="D130" s="11"/>
      <c r="E130" s="11"/>
      <c r="F130" s="11"/>
      <c r="G130" s="11"/>
      <c r="H130" s="11"/>
      <c r="I130" s="11"/>
      <c r="J130" s="11"/>
      <c r="K130" s="2"/>
      <c r="L130" s="2"/>
      <c r="M130" s="2"/>
      <c r="N130" s="2"/>
      <c r="O130" s="2"/>
      <c r="P130" s="2"/>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row>
    <row r="131" spans="1:46" ht="18" customHeight="1" x14ac:dyDescent="0.3">
      <c r="A131" s="1"/>
      <c r="B131" s="21"/>
      <c r="C131" s="11"/>
      <c r="D131" s="11"/>
      <c r="E131" s="11"/>
      <c r="F131" s="11"/>
      <c r="G131" s="11"/>
      <c r="H131" s="11"/>
      <c r="I131" s="11"/>
      <c r="J131" s="11"/>
      <c r="K131" s="2"/>
      <c r="L131" s="2"/>
      <c r="M131" s="2"/>
      <c r="N131" s="2"/>
      <c r="O131" s="2"/>
      <c r="P131" s="2"/>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row>
    <row r="132" spans="1:46" ht="18" customHeight="1" x14ac:dyDescent="0.3">
      <c r="A132" s="1"/>
      <c r="B132" s="21"/>
      <c r="C132" s="11"/>
      <c r="D132" s="11"/>
      <c r="E132" s="11"/>
      <c r="F132" s="11"/>
      <c r="G132" s="11"/>
      <c r="H132" s="11"/>
      <c r="I132" s="11"/>
      <c r="J132" s="11"/>
      <c r="K132" s="2"/>
      <c r="L132" s="2"/>
      <c r="M132" s="2"/>
      <c r="N132" s="2"/>
      <c r="O132" s="2"/>
      <c r="P132" s="2"/>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row>
    <row r="133" spans="1:46" ht="18" customHeight="1" x14ac:dyDescent="0.3">
      <c r="A133" s="1"/>
      <c r="B133" s="21"/>
      <c r="C133" s="11"/>
      <c r="D133" s="11"/>
      <c r="E133" s="11"/>
      <c r="F133" s="11"/>
      <c r="G133" s="11"/>
      <c r="H133" s="11"/>
      <c r="I133" s="11"/>
      <c r="J133" s="11"/>
      <c r="K133" s="2"/>
      <c r="L133" s="2"/>
      <c r="M133" s="2"/>
      <c r="N133" s="2"/>
      <c r="O133" s="2"/>
      <c r="P133" s="2"/>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row>
    <row r="134" spans="1:46" ht="18" customHeight="1" x14ac:dyDescent="0.3">
      <c r="A134" s="1"/>
      <c r="B134" s="21"/>
      <c r="C134" s="11"/>
      <c r="D134" s="11"/>
      <c r="E134" s="11"/>
      <c r="F134" s="11"/>
      <c r="G134" s="11"/>
      <c r="H134" s="11"/>
      <c r="I134" s="11"/>
      <c r="J134" s="11"/>
      <c r="K134" s="2"/>
      <c r="L134" s="2"/>
      <c r="M134" s="2"/>
      <c r="N134" s="2"/>
      <c r="O134" s="2"/>
      <c r="P134" s="2"/>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row>
    <row r="135" spans="1:46" ht="18" customHeight="1" x14ac:dyDescent="0.3">
      <c r="A135" s="1"/>
      <c r="B135" s="21"/>
      <c r="C135" s="11"/>
      <c r="D135" s="11"/>
      <c r="E135" s="11"/>
      <c r="F135" s="11"/>
      <c r="G135" s="11"/>
      <c r="H135" s="11"/>
      <c r="I135" s="11"/>
      <c r="J135" s="11"/>
      <c r="K135" s="2"/>
      <c r="L135" s="2"/>
      <c r="M135" s="2"/>
      <c r="N135" s="2"/>
      <c r="O135" s="2"/>
      <c r="P135" s="2"/>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row>
    <row r="136" spans="1:46" ht="18" customHeight="1" x14ac:dyDescent="0.3">
      <c r="A136" s="1"/>
      <c r="B136" s="21"/>
      <c r="C136" s="11"/>
      <c r="D136" s="11"/>
      <c r="E136" s="11"/>
      <c r="F136" s="11"/>
      <c r="G136" s="11"/>
      <c r="H136" s="11"/>
      <c r="I136" s="11"/>
      <c r="J136" s="11"/>
      <c r="K136" s="2"/>
      <c r="L136" s="2"/>
      <c r="M136" s="2"/>
      <c r="N136" s="2"/>
      <c r="O136" s="2"/>
      <c r="P136" s="2"/>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row>
    <row r="137" spans="1:46" ht="18" customHeight="1" x14ac:dyDescent="0.3">
      <c r="A137" s="1"/>
      <c r="B137" s="21"/>
      <c r="C137" s="11"/>
      <c r="D137" s="11"/>
      <c r="E137" s="11"/>
      <c r="F137" s="11"/>
      <c r="G137" s="11"/>
      <c r="H137" s="11"/>
      <c r="I137" s="11"/>
      <c r="J137" s="11"/>
      <c r="K137" s="2"/>
      <c r="L137" s="2"/>
      <c r="M137" s="2"/>
      <c r="N137" s="2"/>
      <c r="O137" s="2"/>
      <c r="P137" s="2"/>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row>
    <row r="138" spans="1:46" ht="18" customHeight="1" x14ac:dyDescent="0.3">
      <c r="A138" s="1"/>
      <c r="B138" s="21"/>
      <c r="C138" s="11"/>
      <c r="D138" s="11"/>
      <c r="E138" s="11"/>
      <c r="F138" s="11"/>
      <c r="G138" s="11"/>
      <c r="H138" s="11"/>
      <c r="I138" s="11"/>
      <c r="J138" s="11"/>
      <c r="K138" s="2"/>
      <c r="L138" s="2"/>
      <c r="M138" s="2"/>
      <c r="N138" s="2"/>
      <c r="O138" s="2"/>
      <c r="P138" s="2"/>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row>
    <row r="139" spans="1:46" ht="18" customHeight="1" collapsed="1" x14ac:dyDescent="0.3">
      <c r="A139" s="1"/>
      <c r="B139" s="21"/>
      <c r="C139" s="11"/>
      <c r="D139" s="11"/>
      <c r="E139" s="11"/>
      <c r="F139" s="11"/>
      <c r="G139" s="11"/>
      <c r="H139" s="11"/>
      <c r="I139" s="11"/>
      <c r="J139" s="11"/>
      <c r="K139" s="2"/>
      <c r="L139" s="2"/>
      <c r="M139" s="2"/>
      <c r="N139" s="2"/>
      <c r="O139" s="2"/>
      <c r="P139" s="2"/>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row>
    <row r="140" spans="1:46" ht="18" customHeight="1" x14ac:dyDescent="0.3">
      <c r="A140" s="1"/>
      <c r="B140" s="21"/>
      <c r="C140" s="11"/>
      <c r="D140" s="11"/>
      <c r="E140" s="11"/>
      <c r="F140" s="11"/>
      <c r="G140" s="11"/>
      <c r="H140" s="11"/>
      <c r="I140" s="11"/>
      <c r="J140" s="11"/>
      <c r="K140" s="2"/>
      <c r="L140" s="2"/>
      <c r="M140" s="2"/>
      <c r="N140" s="2"/>
      <c r="O140" s="2"/>
      <c r="P140" s="2"/>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row>
    <row r="141" spans="1:46" ht="18" customHeight="1" x14ac:dyDescent="0.3">
      <c r="A141" s="1"/>
      <c r="B141" s="21"/>
      <c r="C141" s="11"/>
      <c r="D141" s="11"/>
      <c r="E141" s="11"/>
      <c r="F141" s="11"/>
      <c r="G141" s="11"/>
      <c r="H141" s="11"/>
      <c r="I141" s="11"/>
      <c r="J141" s="11"/>
      <c r="K141" s="2"/>
      <c r="L141" s="2"/>
      <c r="M141" s="2"/>
      <c r="N141" s="2"/>
      <c r="O141" s="2"/>
      <c r="P141" s="2"/>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row>
    <row r="142" spans="1:46" ht="18" customHeight="1" collapsed="1" x14ac:dyDescent="0.3">
      <c r="A142" s="1"/>
      <c r="B142" s="21"/>
      <c r="C142" s="2"/>
      <c r="D142" s="2"/>
      <c r="E142" s="2"/>
      <c r="F142" s="2"/>
      <c r="G142" s="2"/>
      <c r="H142" s="2"/>
      <c r="I142" s="2"/>
      <c r="J142" s="2"/>
      <c r="K142" s="2"/>
      <c r="L142" s="2"/>
      <c r="M142" s="2"/>
      <c r="N142" s="2"/>
      <c r="O142" s="2"/>
      <c r="P142" s="2"/>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row>
    <row r="143" spans="1:46" ht="18" customHeight="1" x14ac:dyDescent="0.3">
      <c r="A143" s="1"/>
      <c r="B143" s="21"/>
      <c r="C143" s="18"/>
      <c r="D143" s="18"/>
      <c r="E143" s="18"/>
      <c r="F143" s="18"/>
      <c r="G143" s="18"/>
      <c r="H143" s="18"/>
      <c r="I143" s="18"/>
      <c r="J143" s="18"/>
      <c r="K143" s="2"/>
      <c r="L143" s="2"/>
      <c r="M143" s="2"/>
      <c r="N143" s="2"/>
      <c r="O143" s="2"/>
      <c r="P143" s="2"/>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row>
    <row r="144" spans="1:46" ht="18" customHeight="1" x14ac:dyDescent="0.3">
      <c r="A144" s="1"/>
      <c r="B144" s="21"/>
      <c r="C144" s="11"/>
      <c r="D144" s="11"/>
      <c r="E144" s="11"/>
      <c r="F144" s="11"/>
      <c r="G144" s="11"/>
      <c r="H144" s="11"/>
      <c r="I144" s="11"/>
      <c r="J144" s="11"/>
      <c r="K144" s="2"/>
      <c r="L144" s="2"/>
      <c r="M144" s="2"/>
      <c r="N144" s="2"/>
      <c r="O144" s="2"/>
      <c r="P144" s="2"/>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row>
    <row r="145" spans="1:46" ht="18" customHeight="1" x14ac:dyDescent="0.3">
      <c r="A145" s="1"/>
      <c r="B145" s="21"/>
      <c r="C145" s="11"/>
      <c r="D145" s="11"/>
      <c r="E145" s="11"/>
      <c r="F145" s="11"/>
      <c r="G145" s="11"/>
      <c r="H145" s="11"/>
      <c r="I145" s="11"/>
      <c r="J145" s="11"/>
      <c r="K145" s="2"/>
      <c r="L145" s="2"/>
      <c r="M145" s="2"/>
      <c r="N145" s="2"/>
      <c r="O145" s="2"/>
      <c r="P145" s="2"/>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row>
    <row r="146" spans="1:46" ht="18" customHeight="1" x14ac:dyDescent="0.3">
      <c r="A146" s="1"/>
      <c r="B146" s="21"/>
      <c r="C146" s="11"/>
      <c r="D146" s="11"/>
      <c r="E146" s="11"/>
      <c r="F146" s="11"/>
      <c r="G146" s="11"/>
      <c r="H146" s="11"/>
      <c r="I146" s="11"/>
      <c r="J146" s="11"/>
      <c r="K146" s="2"/>
      <c r="L146" s="2"/>
      <c r="M146" s="2"/>
      <c r="N146" s="2"/>
      <c r="O146" s="2"/>
      <c r="P146" s="2"/>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row>
    <row r="147" spans="1:46" ht="18" customHeight="1" collapsed="1" x14ac:dyDescent="0.3">
      <c r="A147" s="1"/>
      <c r="B147" s="21"/>
      <c r="C147" s="11"/>
      <c r="D147" s="11"/>
      <c r="E147" s="11"/>
      <c r="F147" s="11"/>
      <c r="G147" s="11"/>
      <c r="H147" s="11"/>
      <c r="I147" s="11"/>
      <c r="J147" s="11"/>
      <c r="K147" s="2"/>
      <c r="L147" s="2"/>
      <c r="M147" s="2"/>
      <c r="N147" s="2"/>
      <c r="O147" s="2"/>
      <c r="P147" s="2"/>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row>
    <row r="148" spans="1:46" ht="18" customHeight="1" x14ac:dyDescent="0.3">
      <c r="A148" s="1"/>
      <c r="B148" s="21"/>
      <c r="C148" s="15"/>
      <c r="D148" s="15"/>
      <c r="E148" s="15"/>
      <c r="F148" s="15"/>
      <c r="G148" s="15"/>
      <c r="H148" s="15"/>
      <c r="I148" s="15"/>
      <c r="J148" s="15"/>
      <c r="K148" s="2"/>
      <c r="L148" s="2"/>
      <c r="M148" s="2"/>
      <c r="N148" s="2"/>
      <c r="O148" s="2"/>
      <c r="P148" s="2"/>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row>
    <row r="149" spans="1:46" ht="18" customHeight="1" x14ac:dyDescent="0.3">
      <c r="A149" s="1"/>
      <c r="B149" s="21"/>
      <c r="C149" s="11"/>
      <c r="D149" s="11"/>
      <c r="E149" s="11"/>
      <c r="F149" s="11"/>
      <c r="G149" s="11"/>
      <c r="H149" s="11"/>
      <c r="I149" s="11"/>
      <c r="J149" s="11"/>
      <c r="K149" s="2"/>
      <c r="L149" s="2"/>
      <c r="M149" s="2"/>
      <c r="N149" s="2"/>
      <c r="O149" s="2"/>
      <c r="P149" s="2"/>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row>
    <row r="150" spans="1:46" ht="18" customHeight="1" x14ac:dyDescent="0.3">
      <c r="A150" s="1"/>
      <c r="B150" s="21"/>
      <c r="C150" s="11"/>
      <c r="D150" s="11"/>
      <c r="E150" s="11"/>
      <c r="F150" s="11"/>
      <c r="G150" s="11"/>
      <c r="H150" s="11"/>
      <c r="I150" s="11"/>
      <c r="J150" s="11"/>
      <c r="K150" s="2"/>
      <c r="L150" s="2"/>
      <c r="M150" s="2"/>
      <c r="N150" s="2"/>
      <c r="O150" s="2"/>
      <c r="P150" s="2"/>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row>
    <row r="151" spans="1:46" ht="18" customHeight="1" x14ac:dyDescent="0.3">
      <c r="A151" s="1"/>
      <c r="B151" s="21"/>
      <c r="C151" s="11"/>
      <c r="D151" s="11"/>
      <c r="E151" s="11"/>
      <c r="F151" s="11"/>
      <c r="G151" s="11"/>
      <c r="H151" s="11"/>
      <c r="I151" s="11"/>
      <c r="J151" s="11"/>
      <c r="K151" s="2"/>
      <c r="L151" s="2"/>
      <c r="M151" s="2"/>
      <c r="N151" s="2"/>
      <c r="O151" s="2"/>
      <c r="P151" s="2"/>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row>
    <row r="152" spans="1:46" ht="18" customHeight="1" collapsed="1" x14ac:dyDescent="0.3">
      <c r="A152" s="1"/>
      <c r="B152" s="21"/>
      <c r="C152" s="11"/>
      <c r="D152" s="11"/>
      <c r="E152" s="11"/>
      <c r="F152" s="11"/>
      <c r="G152" s="11"/>
      <c r="H152" s="11"/>
      <c r="I152" s="11"/>
      <c r="J152" s="11"/>
      <c r="K152" s="2"/>
      <c r="L152" s="2"/>
      <c r="M152" s="2"/>
      <c r="N152" s="2"/>
      <c r="O152" s="2"/>
      <c r="P152" s="2"/>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row>
    <row r="153" spans="1:46" ht="18" customHeight="1" x14ac:dyDescent="0.3">
      <c r="A153" s="1"/>
      <c r="B153" s="21"/>
      <c r="C153" s="11"/>
      <c r="D153" s="11"/>
      <c r="E153" s="11"/>
      <c r="F153" s="11"/>
      <c r="G153" s="11"/>
      <c r="H153" s="11"/>
      <c r="I153" s="11"/>
      <c r="J153" s="11"/>
      <c r="K153" s="2"/>
      <c r="L153" s="2"/>
      <c r="M153" s="2"/>
      <c r="N153" s="2"/>
      <c r="O153" s="2"/>
      <c r="P153" s="2"/>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row>
    <row r="154" spans="1:46" ht="18" customHeight="1" x14ac:dyDescent="0.3">
      <c r="A154" s="1"/>
      <c r="B154" s="21"/>
      <c r="C154" s="11"/>
      <c r="D154" s="11"/>
      <c r="E154" s="11"/>
      <c r="F154" s="11"/>
      <c r="G154" s="11"/>
      <c r="H154" s="11"/>
      <c r="I154" s="11"/>
      <c r="J154" s="11"/>
      <c r="K154" s="2"/>
      <c r="L154" s="2"/>
      <c r="M154" s="2"/>
      <c r="N154" s="2"/>
      <c r="O154" s="2"/>
      <c r="P154" s="2"/>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row>
    <row r="155" spans="1:46" ht="18" customHeight="1" x14ac:dyDescent="0.3">
      <c r="A155" s="1"/>
      <c r="B155" s="21"/>
      <c r="C155" s="11"/>
      <c r="D155" s="11"/>
      <c r="E155" s="11"/>
      <c r="F155" s="11"/>
      <c r="G155" s="11"/>
      <c r="H155" s="11"/>
      <c r="I155" s="11"/>
      <c r="J155" s="11"/>
      <c r="K155" s="2"/>
      <c r="L155" s="2"/>
      <c r="M155" s="2"/>
      <c r="N155" s="2"/>
      <c r="O155" s="2"/>
      <c r="P155" s="2"/>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row>
    <row r="156" spans="1:46" ht="18" customHeight="1" x14ac:dyDescent="0.3">
      <c r="A156" s="1"/>
      <c r="B156" s="21"/>
      <c r="C156" s="11"/>
      <c r="D156" s="11"/>
      <c r="E156" s="11"/>
      <c r="F156" s="11"/>
      <c r="G156" s="11"/>
      <c r="H156" s="11"/>
      <c r="I156" s="11"/>
      <c r="J156" s="11"/>
      <c r="K156" s="2"/>
      <c r="L156" s="2"/>
      <c r="M156" s="2"/>
      <c r="N156" s="2"/>
      <c r="O156" s="2"/>
      <c r="P156" s="2"/>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row>
    <row r="157" spans="1:46" ht="18" customHeight="1" collapsed="1" x14ac:dyDescent="0.3">
      <c r="A157" s="1"/>
      <c r="B157" s="21"/>
      <c r="C157" s="2"/>
      <c r="D157" s="2"/>
      <c r="E157" s="2"/>
      <c r="F157" s="2"/>
      <c r="G157" s="2"/>
      <c r="H157" s="2"/>
      <c r="I157" s="2"/>
      <c r="J157" s="2"/>
      <c r="K157" s="2"/>
      <c r="L157" s="2"/>
      <c r="M157" s="2"/>
      <c r="N157" s="2"/>
      <c r="O157" s="2"/>
      <c r="P157" s="2"/>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row>
    <row r="158" spans="1:46" ht="18" customHeight="1" x14ac:dyDescent="0.3">
      <c r="A158" s="1"/>
      <c r="B158" s="21"/>
      <c r="C158" s="18"/>
      <c r="D158" s="18"/>
      <c r="E158" s="18"/>
      <c r="F158" s="18"/>
      <c r="G158" s="18"/>
      <c r="H158" s="18"/>
      <c r="I158" s="18"/>
      <c r="J158" s="18"/>
      <c r="K158" s="2"/>
      <c r="L158" s="2"/>
      <c r="M158" s="2"/>
      <c r="N158" s="2"/>
      <c r="O158" s="2"/>
      <c r="P158" s="2"/>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row>
    <row r="159" spans="1:46" ht="18" customHeight="1" x14ac:dyDescent="0.3">
      <c r="A159" s="1"/>
      <c r="B159" s="21"/>
      <c r="C159" s="11"/>
      <c r="D159" s="11"/>
      <c r="E159" s="11"/>
      <c r="F159" s="11"/>
      <c r="G159" s="11"/>
      <c r="H159" s="11"/>
      <c r="I159" s="11"/>
      <c r="J159" s="11"/>
      <c r="K159" s="2"/>
      <c r="L159" s="2"/>
      <c r="M159" s="2"/>
      <c r="N159" s="2"/>
      <c r="O159" s="2"/>
      <c r="P159" s="2"/>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row>
    <row r="160" spans="1:46" ht="18" customHeight="1" x14ac:dyDescent="0.3">
      <c r="A160" s="1"/>
      <c r="B160" s="21"/>
      <c r="C160" s="11"/>
      <c r="D160" s="11"/>
      <c r="E160" s="11"/>
      <c r="F160" s="11"/>
      <c r="G160" s="11"/>
      <c r="H160" s="11"/>
      <c r="I160" s="11"/>
      <c r="J160" s="11"/>
      <c r="K160" s="2"/>
      <c r="L160" s="2"/>
      <c r="M160" s="2"/>
      <c r="N160" s="2"/>
      <c r="O160" s="2"/>
      <c r="P160" s="2"/>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row>
    <row r="161" spans="1:46" ht="18" customHeight="1" x14ac:dyDescent="0.3">
      <c r="A161" s="1"/>
      <c r="B161" s="21"/>
      <c r="C161" s="15"/>
      <c r="D161" s="15"/>
      <c r="E161" s="15"/>
      <c r="F161" s="15"/>
      <c r="G161" s="15"/>
      <c r="H161" s="15"/>
      <c r="I161" s="15"/>
      <c r="J161" s="15"/>
      <c r="K161" s="2"/>
      <c r="L161" s="2"/>
      <c r="M161" s="2"/>
      <c r="N161" s="2"/>
      <c r="O161" s="2"/>
      <c r="P161" s="2"/>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row>
    <row r="162" spans="1:46" ht="18" customHeight="1" x14ac:dyDescent="0.3">
      <c r="A162" s="1"/>
      <c r="B162" s="21"/>
      <c r="C162" s="11"/>
      <c r="D162" s="11"/>
      <c r="E162" s="11"/>
      <c r="F162" s="11"/>
      <c r="G162" s="11"/>
      <c r="H162" s="11"/>
      <c r="I162" s="11"/>
      <c r="J162" s="11"/>
      <c r="K162" s="2"/>
      <c r="L162" s="2"/>
      <c r="M162" s="2"/>
      <c r="N162" s="2"/>
      <c r="O162" s="2"/>
      <c r="P162" s="2"/>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row>
    <row r="163" spans="1:46" ht="18" customHeight="1" x14ac:dyDescent="0.3">
      <c r="A163" s="1"/>
      <c r="B163" s="21"/>
      <c r="C163" s="11"/>
      <c r="D163" s="11"/>
      <c r="E163" s="11"/>
      <c r="F163" s="11"/>
      <c r="G163" s="11"/>
      <c r="H163" s="11"/>
      <c r="I163" s="11"/>
      <c r="J163" s="11"/>
      <c r="K163" s="2"/>
      <c r="L163" s="2"/>
      <c r="M163" s="2"/>
      <c r="N163" s="2"/>
      <c r="O163" s="2"/>
      <c r="P163" s="2"/>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row>
    <row r="164" spans="1:46" ht="18" customHeight="1" collapsed="1" x14ac:dyDescent="0.3">
      <c r="A164" s="1"/>
      <c r="B164" s="21"/>
      <c r="C164" s="11"/>
      <c r="D164" s="11"/>
      <c r="E164" s="11"/>
      <c r="F164" s="11"/>
      <c r="G164" s="11"/>
      <c r="H164" s="11"/>
      <c r="I164" s="11"/>
      <c r="J164" s="11"/>
      <c r="K164" s="2"/>
      <c r="L164" s="2"/>
      <c r="M164" s="2"/>
      <c r="N164" s="2"/>
      <c r="O164" s="2"/>
      <c r="P164" s="2"/>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row>
    <row r="165" spans="1:46" ht="18" customHeight="1" x14ac:dyDescent="0.3">
      <c r="A165" s="1"/>
      <c r="B165" s="21"/>
      <c r="C165" s="11"/>
      <c r="D165" s="11"/>
      <c r="E165" s="11"/>
      <c r="F165" s="11"/>
      <c r="G165" s="11"/>
      <c r="H165" s="11"/>
      <c r="I165" s="11"/>
      <c r="J165" s="11"/>
      <c r="K165" s="2"/>
      <c r="L165" s="2"/>
      <c r="M165" s="2"/>
      <c r="N165" s="2"/>
      <c r="O165" s="2"/>
      <c r="P165" s="2"/>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row>
    <row r="166" spans="1:46" ht="18" customHeight="1" x14ac:dyDescent="0.3">
      <c r="A166" s="1"/>
      <c r="B166" s="21"/>
      <c r="C166" s="11"/>
      <c r="D166" s="11"/>
      <c r="E166" s="11"/>
      <c r="F166" s="11"/>
      <c r="G166" s="11"/>
      <c r="H166" s="11"/>
      <c r="I166" s="11"/>
      <c r="J166" s="11"/>
      <c r="K166" s="2"/>
      <c r="L166" s="2"/>
      <c r="M166" s="2"/>
      <c r="N166" s="2"/>
      <c r="O166" s="2"/>
      <c r="P166" s="2"/>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row>
    <row r="167" spans="1:46" ht="18" customHeight="1" x14ac:dyDescent="0.3">
      <c r="A167" s="1"/>
      <c r="B167" s="21"/>
      <c r="C167" s="11"/>
      <c r="D167" s="11"/>
      <c r="E167" s="11"/>
      <c r="F167" s="11"/>
      <c r="G167" s="11"/>
      <c r="H167" s="11"/>
      <c r="I167" s="11"/>
      <c r="J167" s="11"/>
      <c r="K167" s="2"/>
      <c r="L167" s="2"/>
      <c r="M167" s="2"/>
      <c r="N167" s="2"/>
      <c r="O167" s="2"/>
      <c r="P167" s="2"/>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row>
    <row r="168" spans="1:46" ht="18" customHeight="1" x14ac:dyDescent="0.3">
      <c r="A168" s="1"/>
      <c r="B168" s="21"/>
      <c r="C168" s="11"/>
      <c r="D168" s="11"/>
      <c r="E168" s="11"/>
      <c r="F168" s="11"/>
      <c r="G168" s="11"/>
      <c r="H168" s="11"/>
      <c r="I168" s="11"/>
      <c r="J168" s="11"/>
      <c r="K168" s="2"/>
      <c r="L168" s="2"/>
      <c r="M168" s="2"/>
      <c r="N168" s="2"/>
      <c r="O168" s="2"/>
      <c r="P168" s="2"/>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row>
    <row r="169" spans="1:46" ht="18" customHeight="1" collapsed="1" x14ac:dyDescent="0.3">
      <c r="A169" s="1"/>
      <c r="B169" s="21"/>
      <c r="C169" s="15"/>
      <c r="D169" s="15"/>
      <c r="E169" s="15"/>
      <c r="F169" s="15"/>
      <c r="G169" s="15"/>
      <c r="H169" s="15"/>
      <c r="I169" s="15"/>
      <c r="J169" s="15"/>
      <c r="K169" s="2"/>
      <c r="L169" s="2"/>
      <c r="M169" s="2"/>
      <c r="N169" s="2"/>
      <c r="O169" s="2"/>
      <c r="P169" s="2"/>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row>
    <row r="170" spans="1:46" ht="18" customHeight="1" x14ac:dyDescent="0.3">
      <c r="A170" s="1"/>
      <c r="B170" s="21"/>
      <c r="C170" s="15"/>
      <c r="D170" s="15"/>
      <c r="E170" s="15"/>
      <c r="F170" s="15"/>
      <c r="G170" s="15"/>
      <c r="H170" s="15"/>
      <c r="I170" s="15"/>
      <c r="J170" s="15"/>
      <c r="K170" s="2"/>
      <c r="L170" s="2"/>
      <c r="M170" s="2"/>
      <c r="N170" s="2"/>
      <c r="O170" s="2"/>
      <c r="P170" s="2"/>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row>
    <row r="171" spans="1:46" ht="18" customHeight="1" x14ac:dyDescent="0.3">
      <c r="A171" s="1"/>
      <c r="B171" s="21"/>
      <c r="C171" s="15"/>
      <c r="D171" s="15"/>
      <c r="E171" s="15"/>
      <c r="F171" s="15"/>
      <c r="G171" s="15"/>
      <c r="H171" s="15"/>
      <c r="I171" s="15"/>
      <c r="J171" s="15"/>
      <c r="K171" s="2"/>
      <c r="L171" s="2"/>
      <c r="M171" s="2"/>
      <c r="N171" s="2"/>
      <c r="O171" s="2"/>
      <c r="P171" s="2"/>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row>
    <row r="172" spans="1:46" ht="18" customHeight="1" x14ac:dyDescent="0.3">
      <c r="A172" s="1"/>
      <c r="B172" s="21"/>
      <c r="C172" s="11"/>
      <c r="D172" s="11"/>
      <c r="E172" s="11"/>
      <c r="F172" s="11"/>
      <c r="G172" s="11"/>
      <c r="H172" s="11"/>
      <c r="I172" s="11"/>
      <c r="J172" s="11"/>
      <c r="K172" s="2"/>
      <c r="L172" s="2"/>
      <c r="M172" s="2"/>
      <c r="N172" s="2"/>
      <c r="O172" s="2"/>
      <c r="P172" s="2"/>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row>
    <row r="173" spans="1:46" x14ac:dyDescent="0.3">
      <c r="A173" s="1"/>
      <c r="B173" s="1"/>
      <c r="C173" s="2"/>
      <c r="D173" s="2"/>
      <c r="E173" s="2"/>
      <c r="F173" s="2"/>
      <c r="G173" s="2"/>
      <c r="H173" s="2"/>
      <c r="I173" s="2"/>
      <c r="J173" s="2"/>
      <c r="K173" s="2"/>
      <c r="L173" s="2"/>
      <c r="M173" s="2"/>
      <c r="N173" s="2"/>
      <c r="O173" s="2"/>
      <c r="P173" s="2"/>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row>
    <row r="174" spans="1:46" x14ac:dyDescent="0.3">
      <c r="A174" s="1"/>
      <c r="B174" s="1"/>
      <c r="C174" s="2"/>
      <c r="D174" s="2"/>
      <c r="E174" s="2"/>
      <c r="F174" s="2"/>
      <c r="G174" s="2"/>
      <c r="H174" s="2"/>
      <c r="I174" s="2"/>
      <c r="J174" s="2"/>
      <c r="K174" s="2"/>
      <c r="L174" s="2"/>
      <c r="M174" s="2"/>
      <c r="N174" s="2"/>
      <c r="O174" s="2"/>
      <c r="P174" s="2"/>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row>
    <row r="175" spans="1:46" x14ac:dyDescent="0.3">
      <c r="A175" s="1"/>
      <c r="B175" s="1"/>
      <c r="C175" s="2"/>
      <c r="D175" s="2"/>
      <c r="E175" s="2"/>
      <c r="F175" s="2"/>
      <c r="G175" s="2"/>
      <c r="H175" s="2"/>
      <c r="I175" s="2"/>
      <c r="J175" s="2"/>
      <c r="K175" s="2"/>
      <c r="L175" s="2"/>
      <c r="M175" s="2"/>
      <c r="N175" s="2"/>
      <c r="O175" s="2"/>
      <c r="P175" s="2"/>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row>
    <row r="176" spans="1:46" x14ac:dyDescent="0.3">
      <c r="A176" s="1"/>
      <c r="B176" s="1"/>
      <c r="C176" s="2"/>
      <c r="D176" s="2"/>
      <c r="E176" s="2"/>
      <c r="F176" s="2"/>
      <c r="G176" s="2"/>
      <c r="H176" s="2"/>
      <c r="I176" s="2"/>
      <c r="J176" s="2"/>
      <c r="K176" s="2"/>
      <c r="L176" s="2"/>
      <c r="M176" s="2"/>
      <c r="N176" s="2"/>
      <c r="O176" s="2"/>
      <c r="P176" s="2"/>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row>
    <row r="177" spans="1:46" x14ac:dyDescent="0.3">
      <c r="A177" s="1"/>
      <c r="B177" s="1"/>
      <c r="C177" s="2"/>
      <c r="D177" s="2"/>
      <c r="E177" s="2"/>
      <c r="F177" s="2"/>
      <c r="G177" s="2"/>
      <c r="H177" s="2"/>
      <c r="I177" s="2"/>
      <c r="J177" s="2"/>
      <c r="K177" s="2"/>
      <c r="L177" s="2"/>
      <c r="M177" s="2"/>
      <c r="N177" s="2"/>
      <c r="O177" s="2"/>
      <c r="P177" s="2"/>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row>
    <row r="178" spans="1:46" x14ac:dyDescent="0.3">
      <c r="A178" s="1"/>
      <c r="B178" s="1"/>
      <c r="C178" s="2"/>
      <c r="D178" s="2"/>
      <c r="E178" s="2"/>
      <c r="F178" s="2"/>
      <c r="G178" s="2"/>
      <c r="H178" s="2"/>
      <c r="I178" s="2"/>
      <c r="J178" s="2"/>
      <c r="K178" s="2"/>
      <c r="L178" s="2"/>
      <c r="M178" s="2"/>
      <c r="N178" s="2"/>
      <c r="O178" s="2"/>
      <c r="P178" s="2"/>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row>
    <row r="179" spans="1:46" x14ac:dyDescent="0.3">
      <c r="A179" s="1"/>
      <c r="B179" s="1"/>
      <c r="C179" s="2"/>
      <c r="D179" s="2"/>
      <c r="E179" s="2"/>
      <c r="F179" s="2"/>
      <c r="G179" s="2"/>
      <c r="H179" s="2"/>
      <c r="I179" s="2"/>
      <c r="J179" s="2"/>
      <c r="K179" s="2"/>
      <c r="L179" s="2"/>
      <c r="M179" s="2"/>
      <c r="N179" s="2"/>
      <c r="O179" s="2"/>
      <c r="P179" s="2"/>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row>
    <row r="180" spans="1:46" x14ac:dyDescent="0.3">
      <c r="A180" s="1"/>
      <c r="B180" s="1"/>
      <c r="C180" s="2"/>
      <c r="D180" s="2"/>
      <c r="E180" s="2"/>
      <c r="F180" s="2"/>
      <c r="G180" s="2"/>
      <c r="H180" s="2"/>
      <c r="I180" s="2"/>
      <c r="J180" s="2"/>
      <c r="K180" s="2"/>
      <c r="L180" s="2"/>
      <c r="M180" s="2"/>
      <c r="N180" s="2"/>
      <c r="O180" s="2"/>
      <c r="P180" s="2"/>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row>
    <row r="181" spans="1:46" x14ac:dyDescent="0.3">
      <c r="A181" s="1"/>
      <c r="B181" s="1"/>
      <c r="C181" s="2"/>
      <c r="D181" s="2"/>
      <c r="E181" s="2"/>
      <c r="F181" s="2"/>
      <c r="G181" s="2"/>
      <c r="H181" s="2"/>
      <c r="I181" s="2"/>
      <c r="J181" s="2"/>
      <c r="K181" s="2"/>
      <c r="L181" s="2"/>
      <c r="M181" s="2"/>
      <c r="N181" s="2"/>
      <c r="O181" s="2"/>
      <c r="P181" s="2"/>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row>
    <row r="182" spans="1:46" x14ac:dyDescent="0.3">
      <c r="A182" s="1"/>
      <c r="B182" s="1"/>
      <c r="C182" s="2"/>
      <c r="D182" s="2"/>
      <c r="E182" s="2"/>
      <c r="F182" s="2"/>
      <c r="G182" s="2"/>
      <c r="H182" s="2"/>
      <c r="I182" s="2"/>
      <c r="J182" s="2"/>
      <c r="K182" s="2"/>
      <c r="L182" s="2"/>
      <c r="M182" s="2"/>
      <c r="N182" s="2"/>
      <c r="O182" s="2"/>
      <c r="P182" s="2"/>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row>
    <row r="183" spans="1:46" x14ac:dyDescent="0.3">
      <c r="A183" s="1"/>
      <c r="B183" s="1"/>
      <c r="C183" s="2"/>
      <c r="D183" s="2"/>
      <c r="E183" s="2"/>
      <c r="F183" s="2"/>
      <c r="G183" s="2"/>
      <c r="H183" s="2"/>
      <c r="I183" s="2"/>
      <c r="J183" s="2"/>
      <c r="K183" s="2"/>
      <c r="L183" s="2"/>
      <c r="M183" s="2"/>
      <c r="N183" s="2"/>
      <c r="O183" s="2"/>
      <c r="P183" s="2"/>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row>
    <row r="184" spans="1:46" x14ac:dyDescent="0.3">
      <c r="A184" s="1"/>
      <c r="B184" s="1"/>
      <c r="C184" s="2"/>
      <c r="D184" s="2"/>
      <c r="E184" s="2"/>
      <c r="F184" s="2"/>
      <c r="G184" s="2"/>
      <c r="H184" s="2"/>
      <c r="I184" s="2"/>
      <c r="J184" s="2"/>
      <c r="K184" s="2"/>
      <c r="L184" s="2"/>
      <c r="M184" s="2"/>
      <c r="N184" s="2"/>
      <c r="O184" s="2"/>
      <c r="P184" s="2"/>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row>
    <row r="185" spans="1:46" x14ac:dyDescent="0.3">
      <c r="A185" s="1"/>
      <c r="B185" s="1"/>
      <c r="C185" s="2"/>
      <c r="D185" s="2"/>
      <c r="E185" s="2"/>
      <c r="F185" s="2"/>
      <c r="G185" s="2"/>
      <c r="H185" s="2"/>
      <c r="I185" s="2"/>
      <c r="J185" s="2"/>
      <c r="K185" s="2"/>
      <c r="L185" s="2"/>
      <c r="M185" s="2"/>
      <c r="N185" s="2"/>
      <c r="O185" s="2"/>
      <c r="P185" s="2"/>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row>
    <row r="186" spans="1:46" x14ac:dyDescent="0.3">
      <c r="A186" s="1"/>
      <c r="B186" s="1"/>
      <c r="C186" s="2"/>
      <c r="D186" s="2"/>
      <c r="E186" s="2"/>
      <c r="F186" s="2"/>
      <c r="G186" s="2"/>
      <c r="H186" s="2"/>
      <c r="I186" s="2"/>
      <c r="J186" s="2"/>
      <c r="K186" s="2"/>
      <c r="L186" s="2"/>
      <c r="M186" s="2"/>
      <c r="N186" s="2"/>
      <c r="O186" s="2"/>
      <c r="P186" s="2"/>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row>
    <row r="187" spans="1:46" x14ac:dyDescent="0.3">
      <c r="A187" s="1"/>
      <c r="B187" s="1"/>
      <c r="C187" s="2"/>
      <c r="D187" s="2"/>
      <c r="E187" s="2"/>
      <c r="F187" s="2"/>
      <c r="G187" s="2"/>
      <c r="H187" s="2"/>
      <c r="I187" s="2"/>
      <c r="J187" s="2"/>
      <c r="K187" s="2"/>
      <c r="L187" s="2"/>
      <c r="M187" s="2"/>
      <c r="N187" s="2"/>
      <c r="O187" s="2"/>
      <c r="P187" s="2"/>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row>
    <row r="188" spans="1:46" x14ac:dyDescent="0.3">
      <c r="A188" s="1"/>
      <c r="B188" s="1"/>
      <c r="C188" s="2"/>
      <c r="D188" s="2"/>
      <c r="E188" s="2"/>
      <c r="F188" s="2"/>
      <c r="G188" s="2"/>
      <c r="H188" s="2"/>
      <c r="I188" s="2"/>
      <c r="J188" s="2"/>
      <c r="K188" s="2"/>
      <c r="L188" s="2"/>
      <c r="M188" s="2"/>
      <c r="N188" s="2"/>
      <c r="O188" s="2"/>
      <c r="P188" s="2"/>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row>
    <row r="189" spans="1:46" x14ac:dyDescent="0.3">
      <c r="A189" s="1"/>
      <c r="B189" s="1"/>
      <c r="C189" s="2"/>
      <c r="D189" s="2"/>
      <c r="E189" s="2"/>
      <c r="F189" s="2"/>
      <c r="G189" s="2"/>
      <c r="H189" s="2"/>
      <c r="I189" s="2"/>
      <c r="J189" s="2"/>
      <c r="K189" s="2"/>
      <c r="L189" s="2"/>
      <c r="M189" s="2"/>
      <c r="N189" s="2"/>
      <c r="O189" s="2"/>
      <c r="P189" s="2"/>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row>
    <row r="190" spans="1:46" x14ac:dyDescent="0.3">
      <c r="A190" s="1"/>
      <c r="B190" s="1"/>
      <c r="C190" s="2"/>
      <c r="D190" s="2"/>
      <c r="E190" s="2"/>
      <c r="F190" s="2"/>
      <c r="G190" s="2"/>
      <c r="H190" s="2"/>
      <c r="I190" s="2"/>
      <c r="J190" s="2"/>
      <c r="K190" s="2"/>
      <c r="L190" s="2"/>
      <c r="M190" s="2"/>
      <c r="N190" s="2"/>
      <c r="O190" s="2"/>
      <c r="P190" s="2"/>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row>
    <row r="191" spans="1:46" x14ac:dyDescent="0.3">
      <c r="A191" s="1"/>
      <c r="B191" s="1"/>
      <c r="C191" s="2"/>
      <c r="D191" s="2"/>
      <c r="E191" s="2"/>
      <c r="F191" s="2"/>
      <c r="G191" s="2"/>
      <c r="H191" s="2"/>
      <c r="I191" s="2"/>
      <c r="J191" s="2"/>
      <c r="K191" s="2"/>
      <c r="L191" s="2"/>
      <c r="M191" s="2"/>
      <c r="N191" s="2"/>
      <c r="O191" s="2"/>
      <c r="P191" s="2"/>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row>
    <row r="192" spans="1:46" x14ac:dyDescent="0.3">
      <c r="A192" s="1"/>
      <c r="B192" s="1"/>
      <c r="C192" s="2"/>
      <c r="D192" s="2"/>
      <c r="E192" s="2"/>
      <c r="F192" s="2"/>
      <c r="G192" s="2"/>
      <c r="H192" s="2"/>
      <c r="I192" s="2"/>
      <c r="J192" s="2"/>
      <c r="K192" s="2"/>
      <c r="L192" s="2"/>
      <c r="M192" s="2"/>
      <c r="N192" s="2"/>
      <c r="O192" s="2"/>
      <c r="P192" s="2"/>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row>
    <row r="193" spans="1:46" x14ac:dyDescent="0.3">
      <c r="A193" s="1"/>
      <c r="B193" s="1"/>
      <c r="C193" s="2"/>
      <c r="D193" s="2"/>
      <c r="E193" s="2"/>
      <c r="F193" s="2"/>
      <c r="G193" s="2"/>
      <c r="H193" s="2"/>
      <c r="I193" s="2"/>
      <c r="J193" s="2"/>
      <c r="K193" s="2"/>
      <c r="L193" s="2"/>
      <c r="M193" s="2"/>
      <c r="N193" s="2"/>
      <c r="O193" s="2"/>
      <c r="P193" s="2"/>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row>
    <row r="194" spans="1:46" x14ac:dyDescent="0.3">
      <c r="A194" s="1"/>
      <c r="B194" s="1"/>
      <c r="C194" s="2"/>
      <c r="D194" s="2"/>
      <c r="E194" s="2"/>
      <c r="F194" s="2"/>
      <c r="G194" s="2"/>
      <c r="H194" s="2"/>
      <c r="I194" s="2"/>
      <c r="J194" s="2"/>
      <c r="K194" s="2"/>
      <c r="L194" s="2"/>
      <c r="M194" s="2"/>
      <c r="N194" s="2"/>
      <c r="O194" s="2"/>
      <c r="P194" s="2"/>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row>
    <row r="195" spans="1:46" x14ac:dyDescent="0.3">
      <c r="A195" s="1"/>
      <c r="B195" s="1"/>
      <c r="C195" s="2"/>
      <c r="D195" s="2"/>
      <c r="E195" s="2"/>
      <c r="F195" s="2"/>
      <c r="G195" s="2"/>
      <c r="H195" s="2"/>
      <c r="I195" s="2"/>
      <c r="J195" s="2"/>
      <c r="K195" s="2"/>
      <c r="L195" s="2"/>
      <c r="M195" s="2"/>
      <c r="N195" s="2"/>
      <c r="O195" s="2"/>
      <c r="P195" s="2"/>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row>
    <row r="196" spans="1:46" x14ac:dyDescent="0.3">
      <c r="A196" s="1"/>
      <c r="B196" s="1"/>
      <c r="C196" s="2"/>
      <c r="D196" s="2"/>
      <c r="E196" s="2"/>
      <c r="F196" s="2"/>
      <c r="G196" s="2"/>
      <c r="H196" s="2"/>
      <c r="I196" s="2"/>
      <c r="J196" s="2"/>
      <c r="K196" s="2"/>
      <c r="L196" s="2"/>
      <c r="M196" s="2"/>
      <c r="N196" s="2"/>
      <c r="O196" s="2"/>
      <c r="P196" s="2"/>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row>
    <row r="197" spans="1:46" x14ac:dyDescent="0.3">
      <c r="A197" s="1"/>
      <c r="B197" s="1"/>
      <c r="C197" s="2"/>
      <c r="D197" s="2"/>
      <c r="E197" s="2"/>
      <c r="F197" s="2"/>
      <c r="G197" s="2"/>
      <c r="H197" s="2"/>
      <c r="I197" s="2"/>
      <c r="J197" s="2"/>
      <c r="K197" s="2"/>
      <c r="L197" s="2"/>
      <c r="M197" s="2"/>
      <c r="N197" s="2"/>
      <c r="O197" s="2"/>
      <c r="P197" s="2"/>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row>
    <row r="198" spans="1:46" x14ac:dyDescent="0.3">
      <c r="A198" s="1"/>
      <c r="B198" s="1"/>
      <c r="C198" s="2"/>
      <c r="D198" s="2"/>
      <c r="E198" s="2"/>
      <c r="F198" s="2"/>
      <c r="G198" s="2"/>
      <c r="H198" s="2"/>
      <c r="I198" s="2"/>
      <c r="J198" s="2"/>
      <c r="K198" s="2"/>
      <c r="L198" s="2"/>
      <c r="M198" s="2"/>
      <c r="N198" s="2"/>
      <c r="O198" s="2"/>
      <c r="P198" s="2"/>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row>
    <row r="199" spans="1:46" x14ac:dyDescent="0.3">
      <c r="A199" s="1"/>
      <c r="B199" s="1"/>
      <c r="C199" s="2"/>
      <c r="D199" s="2"/>
      <c r="E199" s="2"/>
      <c r="F199" s="2"/>
      <c r="G199" s="2"/>
      <c r="H199" s="2"/>
      <c r="I199" s="2"/>
      <c r="J199" s="2"/>
      <c r="K199" s="2"/>
      <c r="L199" s="2"/>
      <c r="M199" s="2"/>
      <c r="N199" s="2"/>
      <c r="O199" s="2"/>
      <c r="P199" s="2"/>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row>
    <row r="200" spans="1:46" x14ac:dyDescent="0.3">
      <c r="A200" s="1"/>
      <c r="B200" s="1"/>
      <c r="C200" s="2"/>
      <c r="D200" s="2"/>
      <c r="E200" s="2"/>
      <c r="F200" s="2"/>
      <c r="G200" s="2"/>
      <c r="H200" s="2"/>
      <c r="I200" s="2"/>
      <c r="J200" s="2"/>
      <c r="K200" s="2"/>
      <c r="L200" s="2"/>
      <c r="M200" s="2"/>
      <c r="N200" s="2"/>
      <c r="O200" s="2"/>
      <c r="P200" s="2"/>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row>
    <row r="201" spans="1:46" x14ac:dyDescent="0.3">
      <c r="A201" s="1"/>
      <c r="B201" s="1"/>
      <c r="C201" s="2"/>
      <c r="D201" s="2"/>
      <c r="E201" s="2"/>
      <c r="F201" s="2"/>
      <c r="G201" s="2"/>
      <c r="H201" s="2"/>
      <c r="I201" s="2"/>
      <c r="J201" s="2"/>
      <c r="K201" s="2"/>
      <c r="L201" s="2"/>
      <c r="M201" s="2"/>
      <c r="N201" s="2"/>
      <c r="O201" s="2"/>
      <c r="P201" s="2"/>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row>
    <row r="202" spans="1:46" x14ac:dyDescent="0.3">
      <c r="A202" s="1"/>
      <c r="B202" s="1"/>
      <c r="C202" s="2"/>
      <c r="D202" s="2"/>
      <c r="E202" s="2"/>
      <c r="F202" s="2"/>
      <c r="G202" s="2"/>
      <c r="H202" s="2"/>
      <c r="I202" s="2"/>
      <c r="J202" s="2"/>
      <c r="K202" s="2"/>
      <c r="L202" s="2"/>
      <c r="M202" s="2"/>
      <c r="N202" s="2"/>
      <c r="O202" s="2"/>
      <c r="P202" s="2"/>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row>
    <row r="203" spans="1:46" x14ac:dyDescent="0.3">
      <c r="A203" s="1"/>
      <c r="B203" s="1"/>
      <c r="C203" s="2"/>
      <c r="D203" s="2"/>
      <c r="E203" s="2"/>
      <c r="F203" s="2"/>
      <c r="G203" s="2"/>
      <c r="H203" s="2"/>
      <c r="I203" s="2"/>
      <c r="J203" s="2"/>
      <c r="K203" s="2"/>
      <c r="L203" s="2"/>
      <c r="M203" s="2"/>
      <c r="N203" s="2"/>
      <c r="O203" s="2"/>
      <c r="P203" s="2"/>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row>
    <row r="204" spans="1:46" x14ac:dyDescent="0.3">
      <c r="A204" s="1"/>
      <c r="B204" s="1"/>
      <c r="C204" s="2"/>
      <c r="D204" s="2"/>
      <c r="E204" s="2"/>
      <c r="F204" s="2"/>
      <c r="G204" s="2"/>
      <c r="H204" s="2"/>
      <c r="I204" s="2"/>
      <c r="J204" s="2"/>
      <c r="K204" s="2"/>
      <c r="L204" s="2"/>
      <c r="M204" s="2"/>
      <c r="N204" s="2"/>
      <c r="O204" s="2"/>
      <c r="P204" s="2"/>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row>
    <row r="205" spans="1:46" x14ac:dyDescent="0.3">
      <c r="A205" s="1"/>
      <c r="B205" s="1"/>
      <c r="C205" s="2"/>
      <c r="D205" s="2"/>
      <c r="E205" s="2"/>
      <c r="F205" s="2"/>
      <c r="G205" s="2"/>
      <c r="H205" s="2"/>
      <c r="I205" s="2"/>
      <c r="J205" s="2"/>
      <c r="K205" s="2"/>
      <c r="L205" s="2"/>
      <c r="M205" s="2"/>
      <c r="N205" s="2"/>
      <c r="O205" s="2"/>
      <c r="P205" s="2"/>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row>
    <row r="206" spans="1:46" x14ac:dyDescent="0.3">
      <c r="A206" s="1"/>
      <c r="B206" s="1"/>
      <c r="C206" s="2"/>
      <c r="D206" s="2"/>
      <c r="E206" s="2"/>
      <c r="F206" s="2"/>
      <c r="G206" s="2"/>
      <c r="H206" s="2"/>
      <c r="I206" s="2"/>
      <c r="J206" s="2"/>
      <c r="K206" s="2"/>
      <c r="L206" s="2"/>
      <c r="M206" s="2"/>
      <c r="N206" s="2"/>
      <c r="O206" s="2"/>
      <c r="P206" s="2"/>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row>
    <row r="207" spans="1:46" x14ac:dyDescent="0.3">
      <c r="A207" s="1"/>
      <c r="B207" s="1"/>
      <c r="C207" s="2"/>
      <c r="D207" s="2"/>
      <c r="E207" s="2"/>
      <c r="F207" s="2"/>
      <c r="G207" s="2"/>
      <c r="H207" s="2"/>
      <c r="I207" s="2"/>
      <c r="J207" s="2"/>
      <c r="K207" s="2"/>
      <c r="L207" s="2"/>
      <c r="M207" s="2"/>
      <c r="N207" s="2"/>
      <c r="O207" s="2"/>
      <c r="P207" s="2"/>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row>
    <row r="208" spans="1:46" x14ac:dyDescent="0.3">
      <c r="A208" s="1"/>
      <c r="B208" s="1"/>
      <c r="C208" s="2"/>
      <c r="D208" s="2"/>
      <c r="E208" s="2"/>
      <c r="F208" s="2"/>
      <c r="G208" s="2"/>
      <c r="H208" s="2"/>
      <c r="I208" s="2"/>
      <c r="J208" s="2"/>
      <c r="K208" s="2"/>
      <c r="L208" s="2"/>
      <c r="M208" s="2"/>
      <c r="N208" s="2"/>
      <c r="O208" s="2"/>
      <c r="P208" s="2"/>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row>
    <row r="209" spans="1:46" x14ac:dyDescent="0.3">
      <c r="A209" s="1"/>
      <c r="B209" s="1"/>
      <c r="C209" s="2"/>
      <c r="D209" s="2"/>
      <c r="E209" s="2"/>
      <c r="F209" s="2"/>
      <c r="G209" s="2"/>
      <c r="H209" s="2"/>
      <c r="I209" s="2"/>
      <c r="J209" s="2"/>
      <c r="K209" s="2"/>
      <c r="L209" s="2"/>
      <c r="M209" s="2"/>
      <c r="N209" s="2"/>
      <c r="O209" s="2"/>
      <c r="P209" s="2"/>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row>
    <row r="210" spans="1:46" x14ac:dyDescent="0.3">
      <c r="A210" s="1"/>
      <c r="B210" s="1"/>
      <c r="C210" s="2"/>
      <c r="D210" s="2"/>
      <c r="E210" s="2"/>
      <c r="F210" s="2"/>
      <c r="G210" s="2"/>
      <c r="H210" s="2"/>
      <c r="I210" s="2"/>
      <c r="J210" s="2"/>
      <c r="K210" s="2"/>
      <c r="L210" s="2"/>
      <c r="M210" s="2"/>
      <c r="N210" s="2"/>
      <c r="O210" s="2"/>
      <c r="P210" s="2"/>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row>
    <row r="211" spans="1:46" x14ac:dyDescent="0.3">
      <c r="A211" s="1"/>
      <c r="B211" s="1"/>
      <c r="C211" s="2"/>
      <c r="D211" s="2"/>
      <c r="E211" s="2"/>
      <c r="F211" s="2"/>
      <c r="G211" s="2"/>
      <c r="H211" s="2"/>
      <c r="I211" s="2"/>
      <c r="J211" s="2"/>
      <c r="K211" s="2"/>
      <c r="L211" s="2"/>
      <c r="M211" s="2"/>
      <c r="N211" s="2"/>
      <c r="O211" s="2"/>
      <c r="P211" s="2"/>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row>
    <row r="212" spans="1:46" x14ac:dyDescent="0.3">
      <c r="A212" s="1"/>
      <c r="B212" s="1"/>
      <c r="C212" s="2"/>
      <c r="D212" s="2"/>
      <c r="E212" s="2"/>
      <c r="F212" s="2"/>
      <c r="G212" s="2"/>
      <c r="H212" s="2"/>
      <c r="I212" s="2"/>
      <c r="J212" s="2"/>
      <c r="K212" s="2"/>
      <c r="L212" s="2"/>
      <c r="M212" s="2"/>
      <c r="N212" s="2"/>
      <c r="O212" s="2"/>
      <c r="P212" s="2"/>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row>
    <row r="213" spans="1:46" x14ac:dyDescent="0.3">
      <c r="A213" s="1"/>
      <c r="B213" s="1"/>
      <c r="C213" s="2"/>
      <c r="D213" s="2"/>
      <c r="E213" s="2"/>
      <c r="F213" s="2"/>
      <c r="G213" s="2"/>
      <c r="H213" s="2"/>
      <c r="I213" s="2"/>
      <c r="J213" s="2"/>
      <c r="K213" s="2"/>
      <c r="L213" s="2"/>
      <c r="M213" s="2"/>
      <c r="N213" s="2"/>
      <c r="O213" s="2"/>
      <c r="P213" s="2"/>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row>
    <row r="214" spans="1:46" x14ac:dyDescent="0.3">
      <c r="A214" s="1"/>
      <c r="B214" s="1"/>
      <c r="C214" s="2"/>
      <c r="D214" s="2"/>
      <c r="E214" s="2"/>
      <c r="F214" s="2"/>
      <c r="G214" s="2"/>
      <c r="H214" s="2"/>
      <c r="I214" s="2"/>
      <c r="J214" s="2"/>
      <c r="K214" s="2"/>
      <c r="L214" s="2"/>
      <c r="M214" s="2"/>
      <c r="N214" s="2"/>
      <c r="O214" s="2"/>
      <c r="P214" s="2"/>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row>
    <row r="215" spans="1:46" x14ac:dyDescent="0.3">
      <c r="A215" s="1"/>
      <c r="B215" s="1"/>
      <c r="C215" s="2"/>
      <c r="D215" s="2"/>
      <c r="E215" s="2"/>
      <c r="F215" s="2"/>
      <c r="G215" s="2"/>
      <c r="H215" s="2"/>
      <c r="I215" s="2"/>
      <c r="J215" s="2"/>
      <c r="K215" s="2"/>
      <c r="L215" s="2"/>
      <c r="M215" s="2"/>
      <c r="N215" s="2"/>
      <c r="O215" s="2"/>
      <c r="P215" s="2"/>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row>
    <row r="216" spans="1:46" x14ac:dyDescent="0.3">
      <c r="A216" s="1"/>
      <c r="B216" s="1"/>
      <c r="C216" s="2"/>
      <c r="D216" s="2"/>
      <c r="E216" s="2"/>
      <c r="F216" s="2"/>
      <c r="G216" s="2"/>
      <c r="H216" s="2"/>
      <c r="I216" s="2"/>
      <c r="J216" s="2"/>
      <c r="K216" s="2"/>
      <c r="L216" s="2"/>
      <c r="M216" s="2"/>
      <c r="N216" s="2"/>
      <c r="O216" s="2"/>
      <c r="P216" s="2"/>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row>
    <row r="217" spans="1:46" x14ac:dyDescent="0.3">
      <c r="A217" s="1"/>
      <c r="B217" s="1"/>
      <c r="C217" s="2"/>
      <c r="D217" s="2"/>
      <c r="E217" s="2"/>
      <c r="F217" s="2"/>
      <c r="G217" s="2"/>
      <c r="H217" s="2"/>
      <c r="I217" s="2"/>
      <c r="J217" s="2"/>
      <c r="K217" s="2"/>
      <c r="L217" s="2"/>
      <c r="M217" s="2"/>
      <c r="N217" s="2"/>
      <c r="O217" s="2"/>
      <c r="P217" s="2"/>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row>
    <row r="218" spans="1:46" x14ac:dyDescent="0.3">
      <c r="A218" s="1"/>
      <c r="B218" s="1"/>
      <c r="C218" s="2"/>
      <c r="D218" s="2"/>
      <c r="E218" s="2"/>
      <c r="F218" s="2"/>
      <c r="G218" s="2"/>
      <c r="H218" s="2"/>
      <c r="I218" s="2"/>
      <c r="J218" s="2"/>
      <c r="K218" s="2"/>
      <c r="L218" s="2"/>
      <c r="M218" s="2"/>
      <c r="N218" s="2"/>
      <c r="O218" s="2"/>
      <c r="P218" s="2"/>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row>
    <row r="219" spans="1:46" x14ac:dyDescent="0.3">
      <c r="A219" s="1"/>
      <c r="B219" s="1"/>
      <c r="C219" s="2"/>
      <c r="D219" s="2"/>
      <c r="E219" s="2"/>
      <c r="F219" s="2"/>
      <c r="G219" s="2"/>
      <c r="H219" s="2"/>
      <c r="I219" s="2"/>
      <c r="J219" s="2"/>
      <c r="K219" s="2"/>
      <c r="L219" s="2"/>
      <c r="M219" s="2"/>
      <c r="N219" s="2"/>
      <c r="O219" s="2"/>
      <c r="P219" s="2"/>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row>
    <row r="220" spans="1:46" x14ac:dyDescent="0.3">
      <c r="A220" s="1"/>
      <c r="B220" s="1"/>
      <c r="C220" s="2"/>
      <c r="D220" s="2"/>
      <c r="E220" s="2"/>
      <c r="F220" s="2"/>
      <c r="G220" s="2"/>
      <c r="H220" s="2"/>
      <c r="I220" s="2"/>
      <c r="J220" s="2"/>
      <c r="K220" s="2"/>
      <c r="L220" s="2"/>
      <c r="M220" s="2"/>
      <c r="N220" s="2"/>
      <c r="O220" s="2"/>
      <c r="P220" s="2"/>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row>
    <row r="221" spans="1:46" x14ac:dyDescent="0.3">
      <c r="A221" s="1"/>
      <c r="B221" s="1"/>
      <c r="C221" s="2"/>
      <c r="D221" s="2"/>
      <c r="E221" s="2"/>
      <c r="F221" s="2"/>
      <c r="G221" s="2"/>
      <c r="H221" s="2"/>
      <c r="I221" s="2"/>
      <c r="J221" s="2"/>
      <c r="K221" s="2"/>
      <c r="L221" s="2"/>
      <c r="M221" s="2"/>
      <c r="N221" s="2"/>
      <c r="O221" s="2"/>
      <c r="P221" s="2"/>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row>
    <row r="222" spans="1:46" x14ac:dyDescent="0.3">
      <c r="A222" s="1"/>
      <c r="B222" s="1"/>
      <c r="C222" s="2"/>
      <c r="D222" s="2"/>
      <c r="E222" s="2"/>
      <c r="F222" s="2"/>
      <c r="G222" s="2"/>
      <c r="H222" s="2"/>
      <c r="I222" s="2"/>
      <c r="J222" s="2"/>
      <c r="K222" s="2"/>
      <c r="L222" s="2"/>
      <c r="M222" s="2"/>
      <c r="N222" s="2"/>
      <c r="O222" s="2"/>
      <c r="P222" s="2"/>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row>
    <row r="223" spans="1:46" x14ac:dyDescent="0.3">
      <c r="A223" s="1"/>
      <c r="B223" s="1"/>
      <c r="C223" s="2"/>
      <c r="D223" s="2"/>
      <c r="E223" s="2"/>
      <c r="F223" s="2"/>
      <c r="G223" s="2"/>
      <c r="H223" s="2"/>
      <c r="I223" s="2"/>
      <c r="J223" s="2"/>
      <c r="K223" s="2"/>
      <c r="L223" s="2"/>
      <c r="M223" s="2"/>
      <c r="N223" s="2"/>
      <c r="O223" s="2"/>
      <c r="P223" s="2"/>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row>
    <row r="224" spans="1:46" x14ac:dyDescent="0.3">
      <c r="A224" s="1"/>
      <c r="B224" s="1"/>
      <c r="C224" s="2"/>
      <c r="D224" s="2"/>
      <c r="E224" s="2"/>
      <c r="F224" s="2"/>
      <c r="G224" s="2"/>
      <c r="H224" s="2"/>
      <c r="I224" s="2"/>
      <c r="J224" s="2"/>
      <c r="K224" s="2"/>
      <c r="L224" s="2"/>
      <c r="M224" s="2"/>
      <c r="N224" s="2"/>
      <c r="O224" s="2"/>
      <c r="P224" s="2"/>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row>
    <row r="225" spans="1:46" x14ac:dyDescent="0.3">
      <c r="A225" s="1"/>
      <c r="B225" s="1"/>
      <c r="C225" s="2"/>
      <c r="D225" s="2"/>
      <c r="E225" s="2"/>
      <c r="F225" s="2"/>
      <c r="G225" s="2"/>
      <c r="H225" s="2"/>
      <c r="I225" s="2"/>
      <c r="J225" s="2"/>
      <c r="K225" s="2"/>
      <c r="L225" s="2"/>
      <c r="M225" s="2"/>
      <c r="N225" s="2"/>
      <c r="O225" s="2"/>
      <c r="P225" s="2"/>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row>
    <row r="226" spans="1:46" x14ac:dyDescent="0.3">
      <c r="A226" s="1"/>
      <c r="B226" s="1"/>
      <c r="C226" s="2"/>
      <c r="D226" s="2"/>
      <c r="E226" s="2"/>
      <c r="F226" s="2"/>
      <c r="G226" s="2"/>
      <c r="H226" s="2"/>
      <c r="I226" s="2"/>
      <c r="J226" s="2"/>
      <c r="K226" s="2"/>
      <c r="L226" s="2"/>
      <c r="M226" s="2"/>
      <c r="N226" s="2"/>
      <c r="O226" s="2"/>
      <c r="P226" s="2"/>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row>
    <row r="227" spans="1:46" x14ac:dyDescent="0.3">
      <c r="A227" s="1"/>
      <c r="B227" s="1"/>
      <c r="C227" s="2"/>
      <c r="D227" s="2"/>
      <c r="E227" s="2"/>
      <c r="F227" s="2"/>
      <c r="G227" s="2"/>
      <c r="H227" s="2"/>
      <c r="I227" s="2"/>
      <c r="J227" s="2"/>
      <c r="K227" s="2"/>
      <c r="L227" s="2"/>
      <c r="M227" s="2"/>
      <c r="N227" s="2"/>
      <c r="O227" s="2"/>
      <c r="P227" s="2"/>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row>
    <row r="228" spans="1:46" x14ac:dyDescent="0.3">
      <c r="A228" s="1"/>
      <c r="B228" s="1"/>
      <c r="C228" s="2"/>
      <c r="D228" s="2"/>
      <c r="E228" s="2"/>
      <c r="F228" s="2"/>
      <c r="G228" s="2"/>
      <c r="H228" s="2"/>
      <c r="I228" s="2"/>
      <c r="J228" s="2"/>
      <c r="K228" s="2"/>
      <c r="L228" s="2"/>
      <c r="M228" s="2"/>
      <c r="N228" s="2"/>
      <c r="O228" s="2"/>
      <c r="P228" s="2"/>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row>
    <row r="229" spans="1:46" x14ac:dyDescent="0.3">
      <c r="A229" s="1"/>
      <c r="B229" s="1"/>
      <c r="C229" s="2"/>
      <c r="D229" s="2"/>
      <c r="E229" s="2"/>
      <c r="F229" s="2"/>
      <c r="G229" s="2"/>
      <c r="H229" s="2"/>
      <c r="I229" s="2"/>
      <c r="J229" s="2"/>
      <c r="K229" s="2"/>
      <c r="L229" s="2"/>
      <c r="M229" s="2"/>
      <c r="N229" s="2"/>
      <c r="O229" s="2"/>
      <c r="P229" s="2"/>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row>
    <row r="230" spans="1:46" x14ac:dyDescent="0.3">
      <c r="A230" s="1"/>
      <c r="B230" s="1"/>
      <c r="C230" s="2"/>
      <c r="D230" s="2"/>
      <c r="E230" s="2"/>
      <c r="F230" s="2"/>
      <c r="G230" s="2"/>
      <c r="H230" s="2"/>
      <c r="I230" s="2"/>
      <c r="J230" s="2"/>
      <c r="K230" s="2"/>
      <c r="L230" s="2"/>
      <c r="M230" s="2"/>
      <c r="N230" s="2"/>
      <c r="O230" s="2"/>
      <c r="P230" s="2"/>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row>
    <row r="231" spans="1:46" x14ac:dyDescent="0.3">
      <c r="A231" s="1"/>
      <c r="B231" s="1"/>
      <c r="C231" s="2"/>
      <c r="D231" s="2"/>
      <c r="E231" s="2"/>
      <c r="F231" s="2"/>
      <c r="G231" s="2"/>
      <c r="H231" s="2"/>
      <c r="I231" s="2"/>
      <c r="J231" s="2"/>
      <c r="K231" s="2"/>
      <c r="L231" s="2"/>
      <c r="M231" s="2"/>
      <c r="N231" s="2"/>
      <c r="O231" s="2"/>
      <c r="P231" s="2"/>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row>
    <row r="232" spans="1:46" x14ac:dyDescent="0.3">
      <c r="A232" s="1"/>
      <c r="B232" s="1"/>
      <c r="C232" s="2"/>
      <c r="D232" s="2"/>
      <c r="E232" s="2"/>
      <c r="F232" s="2"/>
      <c r="G232" s="2"/>
      <c r="H232" s="2"/>
      <c r="I232" s="2"/>
      <c r="J232" s="2"/>
      <c r="K232" s="2"/>
      <c r="L232" s="2"/>
      <c r="M232" s="2"/>
      <c r="N232" s="2"/>
      <c r="O232" s="2"/>
      <c r="P232" s="2"/>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row>
    <row r="233" spans="1:46" x14ac:dyDescent="0.3">
      <c r="A233" s="1"/>
      <c r="B233" s="1"/>
      <c r="C233" s="2"/>
      <c r="D233" s="2"/>
      <c r="E233" s="2"/>
      <c r="F233" s="2"/>
      <c r="G233" s="2"/>
      <c r="H233" s="2"/>
      <c r="I233" s="2"/>
      <c r="J233" s="2"/>
      <c r="K233" s="2"/>
      <c r="L233" s="2"/>
      <c r="M233" s="2"/>
      <c r="N233" s="2"/>
      <c r="O233" s="2"/>
      <c r="P233" s="2"/>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row>
    <row r="234" spans="1:46" x14ac:dyDescent="0.3">
      <c r="A234" s="1"/>
      <c r="B234" s="1"/>
      <c r="C234" s="2"/>
      <c r="D234" s="2"/>
      <c r="E234" s="2"/>
      <c r="F234" s="2"/>
      <c r="G234" s="2"/>
      <c r="H234" s="2"/>
      <c r="I234" s="2"/>
      <c r="J234" s="2"/>
      <c r="K234" s="2"/>
      <c r="L234" s="2"/>
      <c r="M234" s="2"/>
      <c r="N234" s="2"/>
      <c r="O234" s="2"/>
      <c r="P234" s="2"/>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row>
    <row r="235" spans="1:46" x14ac:dyDescent="0.3">
      <c r="A235" s="1"/>
      <c r="B235" s="1"/>
      <c r="C235" s="2"/>
      <c r="D235" s="2"/>
      <c r="E235" s="2"/>
      <c r="F235" s="2"/>
      <c r="G235" s="2"/>
      <c r="H235" s="2"/>
      <c r="I235" s="2"/>
      <c r="J235" s="2"/>
      <c r="K235" s="2"/>
      <c r="L235" s="2"/>
      <c r="M235" s="2"/>
      <c r="N235" s="2"/>
      <c r="O235" s="2"/>
      <c r="P235" s="2"/>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row>
    <row r="236" spans="1:46" x14ac:dyDescent="0.3">
      <c r="A236" s="1"/>
      <c r="B236" s="1"/>
      <c r="C236" s="2"/>
      <c r="D236" s="2"/>
      <c r="E236" s="2"/>
      <c r="F236" s="2"/>
      <c r="G236" s="2"/>
      <c r="H236" s="2"/>
      <c r="I236" s="2"/>
      <c r="J236" s="2"/>
      <c r="K236" s="2"/>
      <c r="L236" s="2"/>
      <c r="M236" s="2"/>
      <c r="N236" s="2"/>
      <c r="O236" s="2"/>
      <c r="P236" s="2"/>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row>
    <row r="237" spans="1:46" x14ac:dyDescent="0.3">
      <c r="A237" s="1"/>
      <c r="B237" s="1"/>
      <c r="C237" s="2"/>
      <c r="D237" s="2"/>
      <c r="E237" s="2"/>
      <c r="F237" s="2"/>
      <c r="G237" s="2"/>
      <c r="H237" s="2"/>
      <c r="I237" s="2"/>
      <c r="J237" s="2"/>
      <c r="K237" s="2"/>
      <c r="L237" s="2"/>
      <c r="M237" s="2"/>
      <c r="N237" s="2"/>
      <c r="O237" s="2"/>
      <c r="P237" s="2"/>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row>
    <row r="238" spans="1:46" x14ac:dyDescent="0.3">
      <c r="A238" s="1"/>
      <c r="B238" s="1"/>
      <c r="C238" s="2"/>
      <c r="D238" s="2"/>
      <c r="E238" s="2"/>
      <c r="F238" s="2"/>
      <c r="G238" s="2"/>
      <c r="H238" s="2"/>
      <c r="I238" s="2"/>
      <c r="J238" s="2"/>
      <c r="K238" s="2"/>
      <c r="L238" s="2"/>
      <c r="M238" s="2"/>
      <c r="N238" s="2"/>
      <c r="O238" s="2"/>
      <c r="P238" s="2"/>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row>
    <row r="239" spans="1:46" x14ac:dyDescent="0.3">
      <c r="A239" s="1"/>
      <c r="B239" s="1"/>
      <c r="C239" s="2"/>
      <c r="D239" s="2"/>
      <c r="E239" s="2"/>
      <c r="F239" s="2"/>
      <c r="G239" s="2"/>
      <c r="H239" s="2"/>
      <c r="I239" s="2"/>
      <c r="J239" s="2"/>
      <c r="K239" s="2"/>
      <c r="L239" s="2"/>
      <c r="M239" s="2"/>
      <c r="N239" s="2"/>
      <c r="O239" s="2"/>
      <c r="P239" s="2"/>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row>
    <row r="240" spans="1:46" x14ac:dyDescent="0.3">
      <c r="A240" s="1"/>
      <c r="B240" s="1"/>
      <c r="C240" s="2"/>
      <c r="D240" s="2"/>
      <c r="E240" s="2"/>
      <c r="F240" s="2"/>
      <c r="G240" s="2"/>
      <c r="H240" s="2"/>
      <c r="I240" s="2"/>
      <c r="J240" s="2"/>
      <c r="K240" s="2"/>
      <c r="L240" s="2"/>
      <c r="M240" s="2"/>
      <c r="N240" s="2"/>
      <c r="O240" s="2"/>
      <c r="P240" s="2"/>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row>
    <row r="241" spans="1:46" x14ac:dyDescent="0.3">
      <c r="A241" s="1"/>
      <c r="B241" s="1"/>
      <c r="C241" s="2"/>
      <c r="D241" s="2"/>
      <c r="E241" s="2"/>
      <c r="F241" s="2"/>
      <c r="G241" s="2"/>
      <c r="H241" s="2"/>
      <c r="I241" s="2"/>
      <c r="J241" s="2"/>
      <c r="K241" s="2"/>
      <c r="L241" s="2"/>
      <c r="M241" s="2"/>
      <c r="N241" s="2"/>
      <c r="O241" s="2"/>
      <c r="P241" s="2"/>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row>
    <row r="242" spans="1:46" x14ac:dyDescent="0.3">
      <c r="A242" s="1"/>
      <c r="B242" s="1"/>
      <c r="C242" s="2"/>
      <c r="D242" s="2"/>
      <c r="E242" s="2"/>
      <c r="F242" s="2"/>
      <c r="G242" s="2"/>
      <c r="H242" s="2"/>
      <c r="I242" s="2"/>
      <c r="J242" s="2"/>
      <c r="K242" s="2"/>
      <c r="L242" s="2"/>
      <c r="M242" s="2"/>
      <c r="N242" s="2"/>
      <c r="O242" s="2"/>
      <c r="P242" s="2"/>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row>
    <row r="243" spans="1:46" x14ac:dyDescent="0.3">
      <c r="A243" s="1"/>
      <c r="B243" s="1"/>
      <c r="C243" s="2"/>
      <c r="D243" s="2"/>
      <c r="E243" s="2"/>
      <c r="F243" s="2"/>
      <c r="G243" s="2"/>
      <c r="H243" s="2"/>
      <c r="I243" s="2"/>
      <c r="J243" s="2"/>
      <c r="K243" s="2"/>
      <c r="L243" s="2"/>
      <c r="M243" s="2"/>
      <c r="N243" s="2"/>
      <c r="O243" s="2"/>
      <c r="P243" s="2"/>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row>
    <row r="244" spans="1:46" x14ac:dyDescent="0.3">
      <c r="A244" s="1"/>
      <c r="B244" s="1"/>
      <c r="C244" s="2"/>
      <c r="D244" s="2"/>
      <c r="E244" s="2"/>
      <c r="F244" s="2"/>
      <c r="G244" s="2"/>
      <c r="H244" s="2"/>
      <c r="I244" s="2"/>
      <c r="J244" s="2"/>
      <c r="K244" s="2"/>
      <c r="L244" s="2"/>
      <c r="M244" s="2"/>
      <c r="N244" s="2"/>
      <c r="O244" s="2"/>
      <c r="P244" s="2"/>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row>
    <row r="245" spans="1:46" x14ac:dyDescent="0.3">
      <c r="A245" s="1"/>
      <c r="B245" s="1"/>
      <c r="C245" s="2"/>
      <c r="D245" s="2"/>
      <c r="E245" s="2"/>
      <c r="F245" s="2"/>
      <c r="G245" s="2"/>
      <c r="H245" s="2"/>
      <c r="I245" s="2"/>
      <c r="J245" s="2"/>
      <c r="K245" s="2"/>
      <c r="L245" s="2"/>
      <c r="M245" s="2"/>
      <c r="N245" s="2"/>
      <c r="O245" s="2"/>
      <c r="P245" s="2"/>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row>
    <row r="246" spans="1:46" x14ac:dyDescent="0.3">
      <c r="A246" s="1"/>
      <c r="B246" s="1"/>
      <c r="C246" s="2"/>
      <c r="D246" s="2"/>
      <c r="E246" s="2"/>
      <c r="F246" s="2"/>
      <c r="G246" s="2"/>
      <c r="H246" s="2"/>
      <c r="I246" s="2"/>
      <c r="J246" s="2"/>
      <c r="K246" s="2"/>
      <c r="L246" s="2"/>
      <c r="M246" s="2"/>
      <c r="N246" s="2"/>
      <c r="O246" s="2"/>
      <c r="P246" s="2"/>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row>
    <row r="247" spans="1:46" x14ac:dyDescent="0.3">
      <c r="A247" s="1"/>
      <c r="B247" s="1"/>
      <c r="C247" s="2"/>
      <c r="D247" s="2"/>
      <c r="E247" s="2"/>
      <c r="F247" s="2"/>
      <c r="G247" s="2"/>
      <c r="H247" s="2"/>
      <c r="I247" s="2"/>
      <c r="J247" s="2"/>
      <c r="K247" s="2"/>
      <c r="L247" s="2"/>
      <c r="M247" s="2"/>
      <c r="N247" s="2"/>
      <c r="O247" s="2"/>
      <c r="P247" s="2"/>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row>
    <row r="248" spans="1:46" x14ac:dyDescent="0.3">
      <c r="A248" s="1"/>
      <c r="B248" s="1"/>
      <c r="C248" s="2"/>
      <c r="D248" s="2"/>
      <c r="E248" s="2"/>
      <c r="F248" s="2"/>
      <c r="G248" s="2"/>
      <c r="H248" s="2"/>
      <c r="I248" s="2"/>
      <c r="J248" s="2"/>
      <c r="K248" s="2"/>
      <c r="L248" s="2"/>
      <c r="M248" s="2"/>
      <c r="N248" s="2"/>
      <c r="O248" s="2"/>
      <c r="P248" s="2"/>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row>
    <row r="249" spans="1:46" x14ac:dyDescent="0.3">
      <c r="A249" s="1"/>
      <c r="B249" s="1"/>
      <c r="C249" s="2"/>
      <c r="D249" s="2"/>
      <c r="E249" s="2"/>
      <c r="F249" s="2"/>
      <c r="G249" s="2"/>
      <c r="H249" s="2"/>
      <c r="I249" s="2"/>
      <c r="J249" s="2"/>
      <c r="K249" s="2"/>
      <c r="L249" s="2"/>
      <c r="M249" s="2"/>
      <c r="N249" s="2"/>
      <c r="O249" s="2"/>
      <c r="P249" s="2"/>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row>
    <row r="250" spans="1:46" x14ac:dyDescent="0.3">
      <c r="A250" s="1"/>
      <c r="B250" s="1"/>
      <c r="C250" s="2"/>
      <c r="D250" s="2"/>
      <c r="E250" s="2"/>
      <c r="F250" s="2"/>
      <c r="G250" s="2"/>
      <c r="H250" s="2"/>
      <c r="I250" s="2"/>
      <c r="J250" s="2"/>
      <c r="K250" s="2"/>
      <c r="L250" s="2"/>
      <c r="M250" s="2"/>
      <c r="N250" s="2"/>
      <c r="O250" s="2"/>
      <c r="P250" s="2"/>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row>
    <row r="251" spans="1:46" x14ac:dyDescent="0.3">
      <c r="A251" s="1"/>
      <c r="B251" s="1"/>
      <c r="C251" s="2"/>
      <c r="D251" s="2"/>
      <c r="E251" s="2"/>
      <c r="F251" s="2"/>
      <c r="G251" s="2"/>
      <c r="H251" s="2"/>
      <c r="I251" s="2"/>
      <c r="J251" s="2"/>
      <c r="K251" s="2"/>
      <c r="L251" s="2"/>
      <c r="M251" s="2"/>
      <c r="N251" s="2"/>
      <c r="O251" s="2"/>
      <c r="P251" s="2"/>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row>
    <row r="252" spans="1:46" x14ac:dyDescent="0.3">
      <c r="A252" s="1"/>
      <c r="B252" s="1"/>
      <c r="C252" s="2"/>
      <c r="D252" s="2"/>
      <c r="E252" s="2"/>
      <c r="F252" s="2"/>
      <c r="G252" s="2"/>
      <c r="H252" s="2"/>
      <c r="I252" s="2"/>
      <c r="J252" s="2"/>
      <c r="K252" s="2"/>
      <c r="L252" s="2"/>
      <c r="M252" s="2"/>
      <c r="N252" s="2"/>
      <c r="O252" s="2"/>
      <c r="P252" s="2"/>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row>
    <row r="253" spans="1:46" x14ac:dyDescent="0.3">
      <c r="A253" s="1"/>
      <c r="B253" s="1"/>
      <c r="C253" s="2"/>
      <c r="D253" s="2"/>
      <c r="E253" s="2"/>
      <c r="F253" s="2"/>
      <c r="G253" s="2"/>
      <c r="H253" s="2"/>
      <c r="I253" s="2"/>
      <c r="J253" s="2"/>
      <c r="K253" s="2"/>
      <c r="L253" s="2"/>
      <c r="M253" s="2"/>
      <c r="N253" s="2"/>
      <c r="O253" s="2"/>
      <c r="P253" s="2"/>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row>
    <row r="254" spans="1:46" x14ac:dyDescent="0.3">
      <c r="A254" s="1"/>
      <c r="B254" s="1"/>
      <c r="C254" s="2"/>
      <c r="D254" s="2"/>
      <c r="E254" s="2"/>
      <c r="F254" s="2"/>
      <c r="G254" s="2"/>
      <c r="H254" s="2"/>
      <c r="I254" s="2"/>
      <c r="J254" s="2"/>
      <c r="K254" s="2"/>
      <c r="L254" s="2"/>
      <c r="M254" s="2"/>
      <c r="N254" s="2"/>
      <c r="O254" s="2"/>
      <c r="P254" s="2"/>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row>
    <row r="255" spans="1:46" x14ac:dyDescent="0.3">
      <c r="A255" s="1"/>
      <c r="B255" s="1"/>
      <c r="C255" s="2"/>
      <c r="D255" s="2"/>
      <c r="E255" s="2"/>
      <c r="F255" s="2"/>
      <c r="G255" s="2"/>
      <c r="H255" s="2"/>
      <c r="I255" s="2"/>
      <c r="J255" s="2"/>
      <c r="K255" s="2"/>
      <c r="L255" s="2"/>
      <c r="M255" s="2"/>
      <c r="N255" s="2"/>
      <c r="O255" s="2"/>
      <c r="P255" s="2"/>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row>
    <row r="256" spans="1:46" x14ac:dyDescent="0.3">
      <c r="A256" s="1"/>
      <c r="B256" s="1"/>
      <c r="C256" s="2"/>
      <c r="D256" s="2"/>
      <c r="E256" s="2"/>
      <c r="F256" s="2"/>
      <c r="G256" s="2"/>
      <c r="H256" s="2"/>
      <c r="I256" s="2"/>
      <c r="J256" s="2"/>
      <c r="K256" s="2"/>
      <c r="L256" s="2"/>
      <c r="M256" s="2"/>
      <c r="N256" s="2"/>
      <c r="O256" s="2"/>
      <c r="P256" s="2"/>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row>
    <row r="257" spans="1:46" x14ac:dyDescent="0.3">
      <c r="A257" s="1"/>
      <c r="B257" s="1"/>
      <c r="C257" s="2"/>
      <c r="D257" s="2"/>
      <c r="E257" s="2"/>
      <c r="F257" s="2"/>
      <c r="G257" s="2"/>
      <c r="H257" s="2"/>
      <c r="I257" s="2"/>
      <c r="J257" s="2"/>
      <c r="K257" s="2"/>
      <c r="L257" s="2"/>
      <c r="M257" s="2"/>
      <c r="N257" s="2"/>
      <c r="O257" s="2"/>
      <c r="P257" s="2"/>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row>
    <row r="258" spans="1:46" x14ac:dyDescent="0.3">
      <c r="A258" s="1"/>
      <c r="B258" s="1"/>
      <c r="C258" s="2"/>
      <c r="D258" s="2"/>
      <c r="E258" s="2"/>
      <c r="F258" s="2"/>
      <c r="G258" s="2"/>
      <c r="H258" s="2"/>
      <c r="I258" s="2"/>
      <c r="J258" s="2"/>
      <c r="K258" s="2"/>
      <c r="L258" s="2"/>
      <c r="M258" s="2"/>
      <c r="N258" s="2"/>
      <c r="O258" s="2"/>
      <c r="P258" s="2"/>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row>
    <row r="259" spans="1:46" x14ac:dyDescent="0.3">
      <c r="A259" s="1"/>
      <c r="B259" s="1"/>
      <c r="C259" s="2"/>
      <c r="D259" s="2"/>
      <c r="E259" s="2"/>
      <c r="F259" s="2"/>
      <c r="G259" s="2"/>
      <c r="H259" s="2"/>
      <c r="I259" s="2"/>
      <c r="J259" s="2"/>
      <c r="K259" s="2"/>
      <c r="L259" s="2"/>
      <c r="M259" s="2"/>
      <c r="N259" s="2"/>
      <c r="O259" s="2"/>
      <c r="P259" s="2"/>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row>
    <row r="260" spans="1:46" x14ac:dyDescent="0.3">
      <c r="A260" s="1"/>
      <c r="B260" s="1"/>
      <c r="C260" s="2"/>
      <c r="D260" s="2"/>
      <c r="E260" s="2"/>
      <c r="F260" s="2"/>
      <c r="G260" s="2"/>
      <c r="H260" s="2"/>
      <c r="I260" s="2"/>
      <c r="J260" s="2"/>
      <c r="K260" s="2"/>
      <c r="L260" s="2"/>
      <c r="M260" s="2"/>
      <c r="N260" s="2"/>
      <c r="O260" s="2"/>
      <c r="P260" s="2"/>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row>
    <row r="261" spans="1:46" x14ac:dyDescent="0.3">
      <c r="A261" s="1"/>
      <c r="B261" s="1"/>
      <c r="C261" s="2"/>
      <c r="D261" s="2"/>
      <c r="E261" s="2"/>
      <c r="F261" s="2"/>
      <c r="G261" s="2"/>
      <c r="H261" s="2"/>
      <c r="I261" s="2"/>
      <c r="J261" s="2"/>
      <c r="K261" s="2"/>
      <c r="L261" s="2"/>
      <c r="M261" s="2"/>
      <c r="N261" s="2"/>
      <c r="O261" s="2"/>
      <c r="P261" s="2"/>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row>
    <row r="262" spans="1:46" x14ac:dyDescent="0.3">
      <c r="A262" s="1"/>
      <c r="B262" s="1"/>
      <c r="C262" s="2"/>
      <c r="D262" s="2"/>
      <c r="E262" s="2"/>
      <c r="F262" s="2"/>
      <c r="G262" s="2"/>
      <c r="H262" s="2"/>
      <c r="I262" s="2"/>
      <c r="J262" s="2"/>
      <c r="K262" s="2"/>
      <c r="L262" s="2"/>
      <c r="M262" s="2"/>
      <c r="N262" s="2"/>
      <c r="O262" s="2"/>
      <c r="P262" s="2"/>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row>
    <row r="263" spans="1:46" x14ac:dyDescent="0.3">
      <c r="A263" s="1"/>
      <c r="B263" s="1"/>
      <c r="C263" s="2"/>
      <c r="D263" s="2"/>
      <c r="E263" s="2"/>
      <c r="F263" s="2"/>
      <c r="G263" s="2"/>
      <c r="H263" s="2"/>
      <c r="I263" s="2"/>
      <c r="J263" s="2"/>
      <c r="K263" s="2"/>
      <c r="L263" s="2"/>
      <c r="M263" s="2"/>
      <c r="N263" s="2"/>
      <c r="O263" s="2"/>
      <c r="P263" s="2"/>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row>
    <row r="264" spans="1:46" x14ac:dyDescent="0.3">
      <c r="A264" s="1"/>
      <c r="B264" s="1"/>
      <c r="C264" s="2"/>
      <c r="D264" s="2"/>
      <c r="E264" s="2"/>
      <c r="F264" s="2"/>
      <c r="G264" s="2"/>
      <c r="H264" s="2"/>
      <c r="I264" s="2"/>
      <c r="J264" s="2"/>
      <c r="K264" s="2"/>
      <c r="L264" s="2"/>
      <c r="M264" s="2"/>
      <c r="N264" s="2"/>
      <c r="O264" s="2"/>
      <c r="P264" s="2"/>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row>
    <row r="265" spans="1:46" x14ac:dyDescent="0.3">
      <c r="A265" s="1"/>
      <c r="B265" s="1"/>
      <c r="C265" s="2"/>
      <c r="D265" s="2"/>
      <c r="E265" s="2"/>
      <c r="F265" s="2"/>
      <c r="G265" s="2"/>
      <c r="H265" s="2"/>
      <c r="I265" s="2"/>
      <c r="J265" s="2"/>
      <c r="K265" s="2"/>
      <c r="L265" s="2"/>
      <c r="M265" s="2"/>
      <c r="N265" s="2"/>
      <c r="O265" s="2"/>
      <c r="P265" s="2"/>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row>
    <row r="266" spans="1:46" x14ac:dyDescent="0.3">
      <c r="A266" s="1"/>
      <c r="B266" s="1"/>
      <c r="C266" s="2"/>
      <c r="D266" s="2"/>
      <c r="E266" s="2"/>
      <c r="F266" s="2"/>
      <c r="G266" s="2"/>
      <c r="H266" s="2"/>
      <c r="I266" s="2"/>
      <c r="J266" s="2"/>
      <c r="K266" s="2"/>
      <c r="L266" s="2"/>
      <c r="M266" s="2"/>
      <c r="N266" s="2"/>
      <c r="O266" s="2"/>
      <c r="P266" s="2"/>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row>
    <row r="267" spans="1:46" x14ac:dyDescent="0.3">
      <c r="A267" s="1"/>
      <c r="B267" s="1"/>
      <c r="C267" s="2"/>
      <c r="D267" s="2"/>
      <c r="E267" s="2"/>
      <c r="F267" s="2"/>
      <c r="G267" s="2"/>
      <c r="H267" s="2"/>
      <c r="I267" s="2"/>
      <c r="J267" s="2"/>
      <c r="K267" s="2"/>
      <c r="L267" s="2"/>
      <c r="M267" s="2"/>
      <c r="N267" s="2"/>
      <c r="O267" s="2"/>
      <c r="P267" s="2"/>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row>
    <row r="268" spans="1:46" x14ac:dyDescent="0.3">
      <c r="A268" s="1"/>
      <c r="B268" s="1"/>
      <c r="C268" s="2"/>
      <c r="D268" s="2"/>
      <c r="E268" s="2"/>
      <c r="F268" s="2"/>
      <c r="G268" s="2"/>
      <c r="H268" s="2"/>
      <c r="I268" s="2"/>
      <c r="J268" s="2"/>
      <c r="K268" s="2"/>
      <c r="L268" s="2"/>
      <c r="M268" s="2"/>
      <c r="N268" s="2"/>
      <c r="O268" s="2"/>
      <c r="P268" s="2"/>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row>
    <row r="269" spans="1:46" x14ac:dyDescent="0.3">
      <c r="A269" s="1"/>
      <c r="B269" s="1"/>
      <c r="C269" s="2"/>
      <c r="D269" s="2"/>
      <c r="E269" s="2"/>
      <c r="F269" s="2"/>
      <c r="G269" s="2"/>
      <c r="H269" s="2"/>
      <c r="I269" s="2"/>
      <c r="J269" s="2"/>
      <c r="K269" s="2"/>
      <c r="L269" s="2"/>
      <c r="M269" s="2"/>
      <c r="N269" s="2"/>
      <c r="O269" s="2"/>
      <c r="P269" s="2"/>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row>
    <row r="270" spans="1:46" x14ac:dyDescent="0.3">
      <c r="A270" s="1"/>
      <c r="B270" s="1"/>
      <c r="C270" s="2"/>
      <c r="D270" s="2"/>
      <c r="E270" s="2"/>
      <c r="F270" s="2"/>
      <c r="G270" s="2"/>
      <c r="H270" s="2"/>
      <c r="I270" s="2"/>
      <c r="J270" s="2"/>
      <c r="K270" s="2"/>
      <c r="L270" s="2"/>
      <c r="M270" s="2"/>
      <c r="N270" s="2"/>
      <c r="O270" s="2"/>
      <c r="P270" s="2"/>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row>
    <row r="271" spans="1:46" x14ac:dyDescent="0.3">
      <c r="A271" s="1"/>
      <c r="B271" s="1"/>
      <c r="C271" s="2"/>
      <c r="D271" s="2"/>
      <c r="E271" s="2"/>
      <c r="F271" s="2"/>
      <c r="G271" s="2"/>
      <c r="H271" s="2"/>
      <c r="I271" s="2"/>
      <c r="J271" s="2"/>
      <c r="K271" s="2"/>
      <c r="L271" s="2"/>
      <c r="M271" s="2"/>
      <c r="N271" s="2"/>
      <c r="O271" s="2"/>
      <c r="P271" s="2"/>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row>
    <row r="272" spans="1:46" x14ac:dyDescent="0.3">
      <c r="A272" s="1"/>
      <c r="B272" s="1"/>
      <c r="C272" s="2"/>
      <c r="D272" s="2"/>
      <c r="E272" s="2"/>
      <c r="F272" s="2"/>
      <c r="G272" s="2"/>
      <c r="H272" s="2"/>
      <c r="I272" s="2"/>
      <c r="J272" s="2"/>
      <c r="K272" s="2"/>
      <c r="L272" s="2"/>
      <c r="M272" s="2"/>
      <c r="N272" s="2"/>
      <c r="O272" s="2"/>
      <c r="P272" s="2"/>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row>
    <row r="273" spans="1:46" x14ac:dyDescent="0.3">
      <c r="A273" s="1"/>
      <c r="B273" s="1"/>
      <c r="C273" s="2"/>
      <c r="D273" s="2"/>
      <c r="E273" s="2"/>
      <c r="F273" s="2"/>
      <c r="G273" s="2"/>
      <c r="H273" s="2"/>
      <c r="I273" s="2"/>
      <c r="J273" s="2"/>
      <c r="K273" s="2"/>
      <c r="L273" s="2"/>
      <c r="M273" s="2"/>
      <c r="N273" s="2"/>
      <c r="O273" s="2"/>
      <c r="P273" s="2"/>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row>
    <row r="274" spans="1:46" x14ac:dyDescent="0.3">
      <c r="A274" s="1"/>
      <c r="B274" s="1"/>
      <c r="C274" s="2"/>
      <c r="D274" s="2"/>
      <c r="E274" s="2"/>
      <c r="F274" s="2"/>
      <c r="G274" s="2"/>
      <c r="H274" s="2"/>
      <c r="I274" s="2"/>
      <c r="J274" s="2"/>
      <c r="K274" s="2"/>
      <c r="L274" s="2"/>
      <c r="M274" s="2"/>
      <c r="N274" s="2"/>
      <c r="O274" s="2"/>
      <c r="P274" s="2"/>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row>
    <row r="275" spans="1:46" x14ac:dyDescent="0.3">
      <c r="A275" s="1"/>
      <c r="B275" s="1"/>
      <c r="C275" s="2"/>
      <c r="D275" s="2"/>
      <c r="E275" s="2"/>
      <c r="F275" s="2"/>
      <c r="G275" s="2"/>
      <c r="H275" s="2"/>
      <c r="I275" s="2"/>
      <c r="J275" s="2"/>
      <c r="K275" s="2"/>
      <c r="L275" s="2"/>
      <c r="M275" s="2"/>
      <c r="N275" s="2"/>
      <c r="O275" s="2"/>
      <c r="P275" s="2"/>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row>
    <row r="276" spans="1:46" x14ac:dyDescent="0.3">
      <c r="A276" s="1"/>
      <c r="B276" s="1"/>
      <c r="C276" s="2"/>
      <c r="D276" s="2"/>
      <c r="E276" s="2"/>
      <c r="F276" s="2"/>
      <c r="G276" s="2"/>
      <c r="H276" s="2"/>
      <c r="I276" s="2"/>
      <c r="J276" s="2"/>
      <c r="K276" s="2"/>
      <c r="L276" s="2"/>
      <c r="M276" s="2"/>
      <c r="N276" s="2"/>
      <c r="O276" s="2"/>
      <c r="P276" s="2"/>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row>
    <row r="277" spans="1:46" x14ac:dyDescent="0.3">
      <c r="A277" s="1"/>
      <c r="B277" s="1"/>
      <c r="C277" s="2"/>
      <c r="D277" s="2"/>
      <c r="E277" s="2"/>
      <c r="F277" s="2"/>
      <c r="G277" s="2"/>
      <c r="H277" s="2"/>
      <c r="I277" s="2"/>
      <c r="J277" s="2"/>
      <c r="K277" s="2"/>
      <c r="L277" s="2"/>
      <c r="M277" s="2"/>
      <c r="N277" s="2"/>
      <c r="O277" s="2"/>
      <c r="P277" s="2"/>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row>
    <row r="278" spans="1:46" x14ac:dyDescent="0.3">
      <c r="A278" s="1"/>
      <c r="B278" s="1"/>
      <c r="C278" s="2"/>
      <c r="D278" s="2"/>
      <c r="E278" s="2"/>
      <c r="F278" s="2"/>
      <c r="G278" s="2"/>
      <c r="H278" s="2"/>
      <c r="I278" s="2"/>
      <c r="J278" s="2"/>
      <c r="K278" s="2"/>
      <c r="L278" s="2"/>
      <c r="M278" s="2"/>
      <c r="N278" s="2"/>
      <c r="O278" s="2"/>
      <c r="P278" s="2"/>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row>
    <row r="279" spans="1:46" x14ac:dyDescent="0.3">
      <c r="A279" s="1"/>
      <c r="B279" s="1"/>
      <c r="C279" s="2"/>
      <c r="D279" s="2"/>
      <c r="E279" s="2"/>
      <c r="F279" s="2"/>
      <c r="G279" s="2"/>
      <c r="H279" s="2"/>
      <c r="I279" s="2"/>
      <c r="J279" s="2"/>
      <c r="K279" s="2"/>
      <c r="L279" s="2"/>
      <c r="M279" s="2"/>
      <c r="N279" s="2"/>
      <c r="O279" s="2"/>
      <c r="P279" s="2"/>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row>
    <row r="280" spans="1:46" x14ac:dyDescent="0.3">
      <c r="A280" s="1"/>
      <c r="B280" s="1"/>
      <c r="C280" s="2"/>
      <c r="D280" s="2"/>
      <c r="E280" s="2"/>
      <c r="F280" s="2"/>
      <c r="G280" s="2"/>
      <c r="H280" s="2"/>
      <c r="I280" s="2"/>
      <c r="J280" s="2"/>
      <c r="K280" s="2"/>
      <c r="L280" s="2"/>
      <c r="M280" s="2"/>
      <c r="N280" s="2"/>
      <c r="O280" s="2"/>
      <c r="P280" s="2"/>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row>
    <row r="281" spans="1:46" x14ac:dyDescent="0.3">
      <c r="A281" s="1"/>
      <c r="B281" s="1"/>
      <c r="C281" s="2"/>
      <c r="D281" s="2"/>
      <c r="E281" s="2"/>
      <c r="F281" s="2"/>
      <c r="G281" s="2"/>
      <c r="H281" s="2"/>
      <c r="I281" s="2"/>
      <c r="J281" s="2"/>
      <c r="K281" s="2"/>
      <c r="L281" s="2"/>
      <c r="M281" s="2"/>
      <c r="N281" s="2"/>
      <c r="O281" s="2"/>
      <c r="P281" s="2"/>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row>
    <row r="282" spans="1:46" x14ac:dyDescent="0.3">
      <c r="A282" s="1"/>
      <c r="B282" s="1"/>
      <c r="C282" s="2"/>
      <c r="D282" s="2"/>
      <c r="E282" s="2"/>
      <c r="F282" s="2"/>
      <c r="G282" s="2"/>
      <c r="H282" s="2"/>
      <c r="I282" s="2"/>
      <c r="J282" s="2"/>
      <c r="K282" s="2"/>
      <c r="L282" s="2"/>
      <c r="M282" s="2"/>
      <c r="N282" s="2"/>
      <c r="O282" s="2"/>
      <c r="P282" s="2"/>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row>
    <row r="283" spans="1:46" x14ac:dyDescent="0.3">
      <c r="A283" s="1"/>
      <c r="B283" s="1"/>
      <c r="C283" s="2"/>
      <c r="D283" s="2"/>
      <c r="E283" s="2"/>
      <c r="F283" s="2"/>
      <c r="G283" s="2"/>
      <c r="H283" s="2"/>
      <c r="I283" s="2"/>
      <c r="J283" s="2"/>
      <c r="K283" s="2"/>
      <c r="L283" s="2"/>
      <c r="M283" s="2"/>
      <c r="N283" s="2"/>
      <c r="O283" s="2"/>
      <c r="P283" s="2"/>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row>
    <row r="284" spans="1:46" x14ac:dyDescent="0.3">
      <c r="A284" s="1"/>
      <c r="B284" s="1"/>
      <c r="C284" s="2"/>
      <c r="D284" s="2"/>
      <c r="E284" s="2"/>
      <c r="F284" s="2"/>
      <c r="G284" s="2"/>
      <c r="H284" s="2"/>
      <c r="I284" s="2"/>
      <c r="J284" s="2"/>
      <c r="K284" s="2"/>
      <c r="L284" s="2"/>
      <c r="M284" s="2"/>
      <c r="N284" s="2"/>
      <c r="O284" s="2"/>
      <c r="P284" s="2"/>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row>
    <row r="285" spans="1:46" x14ac:dyDescent="0.3">
      <c r="A285" s="1"/>
      <c r="B285" s="1"/>
      <c r="C285" s="2"/>
      <c r="D285" s="2"/>
      <c r="E285" s="2"/>
      <c r="F285" s="2"/>
      <c r="G285" s="2"/>
      <c r="H285" s="2"/>
      <c r="I285" s="2"/>
      <c r="J285" s="2"/>
      <c r="K285" s="2"/>
      <c r="L285" s="2"/>
      <c r="M285" s="2"/>
      <c r="N285" s="2"/>
      <c r="O285" s="2"/>
      <c r="P285" s="2"/>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row>
    <row r="286" spans="1:46" x14ac:dyDescent="0.3">
      <c r="A286" s="1"/>
      <c r="B286" s="1"/>
      <c r="C286" s="2"/>
      <c r="D286" s="2"/>
      <c r="E286" s="2"/>
      <c r="F286" s="2"/>
      <c r="G286" s="2"/>
      <c r="H286" s="2"/>
      <c r="I286" s="2"/>
      <c r="J286" s="2"/>
      <c r="K286" s="2"/>
      <c r="L286" s="2"/>
      <c r="M286" s="2"/>
      <c r="N286" s="2"/>
      <c r="O286" s="2"/>
      <c r="P286" s="2"/>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row>
    <row r="287" spans="1:46" x14ac:dyDescent="0.3">
      <c r="A287" s="1"/>
      <c r="B287" s="1"/>
      <c r="C287" s="2"/>
      <c r="D287" s="2"/>
      <c r="E287" s="2"/>
      <c r="F287" s="2"/>
      <c r="G287" s="2"/>
      <c r="H287" s="2"/>
      <c r="I287" s="2"/>
      <c r="J287" s="2"/>
      <c r="K287" s="2"/>
      <c r="L287" s="2"/>
      <c r="M287" s="2"/>
      <c r="N287" s="2"/>
      <c r="O287" s="2"/>
      <c r="P287" s="2"/>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row>
    <row r="288" spans="1:46" x14ac:dyDescent="0.3">
      <c r="A288" s="1"/>
      <c r="B288" s="1"/>
      <c r="C288" s="2"/>
      <c r="D288" s="2"/>
      <c r="E288" s="2"/>
      <c r="F288" s="2"/>
      <c r="G288" s="2"/>
      <c r="H288" s="2"/>
      <c r="I288" s="2"/>
      <c r="J288" s="2"/>
      <c r="K288" s="2"/>
      <c r="L288" s="2"/>
      <c r="M288" s="2"/>
      <c r="N288" s="2"/>
      <c r="O288" s="2"/>
      <c r="P288" s="2"/>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row>
    <row r="289" spans="1:46" x14ac:dyDescent="0.3">
      <c r="A289" s="1"/>
      <c r="B289" s="1"/>
      <c r="C289" s="2"/>
      <c r="D289" s="2"/>
      <c r="E289" s="2"/>
      <c r="F289" s="2"/>
      <c r="G289" s="2"/>
      <c r="H289" s="2"/>
      <c r="I289" s="2"/>
      <c r="J289" s="2"/>
      <c r="K289" s="2"/>
      <c r="L289" s="2"/>
      <c r="M289" s="2"/>
      <c r="N289" s="2"/>
      <c r="O289" s="2"/>
      <c r="P289" s="2"/>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row>
    <row r="290" spans="1:46" x14ac:dyDescent="0.3">
      <c r="A290" s="1"/>
      <c r="B290" s="1"/>
      <c r="C290" s="2"/>
      <c r="D290" s="2"/>
      <c r="E290" s="2"/>
      <c r="F290" s="2"/>
      <c r="G290" s="2"/>
      <c r="H290" s="2"/>
      <c r="I290" s="2"/>
      <c r="J290" s="2"/>
      <c r="K290" s="2"/>
      <c r="L290" s="2"/>
      <c r="M290" s="2"/>
      <c r="N290" s="2"/>
      <c r="O290" s="2"/>
      <c r="P290" s="2"/>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row>
    <row r="291" spans="1:46" x14ac:dyDescent="0.3">
      <c r="A291" s="1"/>
      <c r="B291" s="1"/>
      <c r="C291" s="2"/>
      <c r="D291" s="2"/>
      <c r="E291" s="2"/>
      <c r="F291" s="2"/>
      <c r="G291" s="2"/>
      <c r="H291" s="2"/>
      <c r="I291" s="2"/>
      <c r="J291" s="2"/>
      <c r="K291" s="2"/>
      <c r="L291" s="2"/>
      <c r="M291" s="2"/>
      <c r="N291" s="2"/>
      <c r="O291" s="2"/>
      <c r="P291" s="2"/>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row>
    <row r="292" spans="1:46" x14ac:dyDescent="0.3">
      <c r="A292" s="1"/>
      <c r="B292" s="1"/>
      <c r="C292" s="2"/>
      <c r="D292" s="2"/>
      <c r="E292" s="2"/>
      <c r="F292" s="2"/>
      <c r="G292" s="2"/>
      <c r="H292" s="2"/>
      <c r="I292" s="2"/>
      <c r="J292" s="2"/>
      <c r="K292" s="2"/>
      <c r="L292" s="2"/>
      <c r="M292" s="2"/>
      <c r="N292" s="2"/>
      <c r="O292" s="2"/>
      <c r="P292" s="2"/>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row>
    <row r="293" spans="1:46" x14ac:dyDescent="0.3">
      <c r="A293" s="1"/>
      <c r="B293" s="1"/>
      <c r="C293" s="2"/>
      <c r="D293" s="2"/>
      <c r="E293" s="2"/>
      <c r="F293" s="2"/>
      <c r="G293" s="2"/>
      <c r="H293" s="2"/>
      <c r="I293" s="2"/>
      <c r="J293" s="2"/>
      <c r="K293" s="2"/>
      <c r="L293" s="2"/>
      <c r="M293" s="2"/>
      <c r="N293" s="2"/>
      <c r="O293" s="2"/>
      <c r="P293" s="2"/>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row>
    <row r="294" spans="1:46" x14ac:dyDescent="0.3">
      <c r="A294" s="1"/>
      <c r="B294" s="1"/>
      <c r="C294" s="2"/>
      <c r="D294" s="2"/>
      <c r="E294" s="2"/>
      <c r="F294" s="2"/>
      <c r="G294" s="2"/>
      <c r="H294" s="2"/>
      <c r="I294" s="2"/>
      <c r="J294" s="2"/>
      <c r="K294" s="2"/>
      <c r="L294" s="2"/>
      <c r="M294" s="2"/>
      <c r="N294" s="2"/>
      <c r="O294" s="2"/>
      <c r="P294" s="2"/>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row>
    <row r="295" spans="1:46" x14ac:dyDescent="0.3">
      <c r="A295" s="1"/>
      <c r="B295" s="1"/>
      <c r="C295" s="2"/>
      <c r="D295" s="2"/>
      <c r="E295" s="2"/>
      <c r="F295" s="2"/>
      <c r="G295" s="2"/>
      <c r="H295" s="2"/>
      <c r="I295" s="2"/>
      <c r="J295" s="2"/>
      <c r="K295" s="2"/>
      <c r="L295" s="2"/>
      <c r="M295" s="2"/>
      <c r="N295" s="2"/>
      <c r="O295" s="2"/>
      <c r="P295" s="2"/>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row>
    <row r="296" spans="1:46" x14ac:dyDescent="0.3">
      <c r="A296" s="1"/>
      <c r="B296" s="1"/>
      <c r="C296" s="2"/>
      <c r="D296" s="2"/>
      <c r="E296" s="2"/>
      <c r="F296" s="2"/>
      <c r="G296" s="2"/>
      <c r="H296" s="2"/>
      <c r="I296" s="2"/>
      <c r="J296" s="2"/>
      <c r="K296" s="2"/>
      <c r="L296" s="2"/>
      <c r="M296" s="2"/>
      <c r="N296" s="2"/>
      <c r="O296" s="2"/>
      <c r="P296" s="2"/>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row>
    <row r="297" spans="1:46" x14ac:dyDescent="0.3">
      <c r="A297" s="1"/>
      <c r="B297" s="1"/>
      <c r="C297" s="2"/>
      <c r="D297" s="2"/>
      <c r="E297" s="2"/>
      <c r="F297" s="2"/>
      <c r="G297" s="2"/>
      <c r="H297" s="2"/>
      <c r="I297" s="2"/>
      <c r="J297" s="2"/>
      <c r="K297" s="2"/>
      <c r="L297" s="2"/>
      <c r="M297" s="2"/>
      <c r="N297" s="2"/>
      <c r="O297" s="2"/>
      <c r="P297" s="2"/>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row>
    <row r="298" spans="1:46" x14ac:dyDescent="0.3">
      <c r="A298" s="1"/>
      <c r="B298" s="1"/>
      <c r="C298" s="2"/>
      <c r="D298" s="2"/>
      <c r="E298" s="2"/>
      <c r="F298" s="2"/>
      <c r="G298" s="2"/>
      <c r="H298" s="2"/>
      <c r="I298" s="2"/>
      <c r="J298" s="2"/>
      <c r="K298" s="2"/>
      <c r="L298" s="2"/>
      <c r="M298" s="2"/>
      <c r="N298" s="2"/>
      <c r="O298" s="2"/>
      <c r="P298" s="2"/>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row>
    <row r="299" spans="1:46" x14ac:dyDescent="0.3">
      <c r="A299" s="1"/>
      <c r="B299" s="1"/>
      <c r="C299" s="2"/>
      <c r="D299" s="2"/>
      <c r="E299" s="2"/>
      <c r="F299" s="2"/>
      <c r="G299" s="2"/>
      <c r="H299" s="2"/>
      <c r="I299" s="2"/>
      <c r="J299" s="2"/>
      <c r="K299" s="2"/>
      <c r="L299" s="2"/>
      <c r="M299" s="2"/>
      <c r="N299" s="2"/>
      <c r="O299" s="2"/>
      <c r="P299" s="2"/>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row>
    <row r="300" spans="1:46" x14ac:dyDescent="0.3">
      <c r="A300" s="1"/>
      <c r="B300" s="1"/>
      <c r="C300" s="2"/>
      <c r="D300" s="2"/>
      <c r="E300" s="2"/>
      <c r="F300" s="2"/>
      <c r="G300" s="2"/>
      <c r="H300" s="2"/>
      <c r="I300" s="2"/>
      <c r="J300" s="2"/>
      <c r="K300" s="2"/>
      <c r="L300" s="2"/>
      <c r="M300" s="2"/>
      <c r="N300" s="2"/>
      <c r="O300" s="2"/>
      <c r="P300" s="2"/>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row>
    <row r="301" spans="1:46" x14ac:dyDescent="0.3">
      <c r="A301" s="1"/>
      <c r="B301" s="1"/>
      <c r="C301" s="2"/>
      <c r="D301" s="2"/>
      <c r="E301" s="2"/>
      <c r="F301" s="2"/>
      <c r="G301" s="2"/>
      <c r="H301" s="2"/>
      <c r="I301" s="2"/>
      <c r="J301" s="2"/>
      <c r="K301" s="2"/>
      <c r="L301" s="2"/>
      <c r="M301" s="2"/>
      <c r="N301" s="2"/>
      <c r="O301" s="2"/>
      <c r="P301" s="2"/>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row>
  </sheetData>
  <conditionalFormatting sqref="C18:L20 C24:L24 C31:L38 C40:K42">
    <cfRule type="cellIs" dxfId="2" priority="2" operator="equal">
      <formula>0</formula>
    </cfRule>
  </conditionalFormatting>
  <conditionalFormatting sqref="M37:P37">
    <cfRule type="cellIs" dxfId="1" priority="1" operator="equal">
      <formula>0</formula>
    </cfRule>
  </conditionalFormatting>
  <pageMargins left="0.511811024" right="0.511811024" top="0.78740157499999996" bottom="0.78740157499999996" header="0.31496062000000002" footer="0.31496062000000002"/>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6852F-3B62-48E1-8598-CC600CDA419E}">
  <sheetPr codeName="Planilha8"/>
  <dimension ref="A1:AW403"/>
  <sheetViews>
    <sheetView showGridLines="0" topLeftCell="A299" zoomScale="85" zoomScaleNormal="85" workbookViewId="0">
      <selection activeCell="F328" sqref="F328"/>
    </sheetView>
  </sheetViews>
  <sheetFormatPr defaultColWidth="9" defaultRowHeight="14.4" x14ac:dyDescent="0.3"/>
  <cols>
    <col min="1" max="1" width="21.44140625" style="3" customWidth="1"/>
    <col min="2" max="2" width="36.33203125" style="8" customWidth="1"/>
    <col min="3" max="7" width="21.5546875" style="8" customWidth="1"/>
    <col min="8" max="8" width="21.5546875" style="3" customWidth="1"/>
    <col min="9" max="11" width="9.88671875" style="8" bestFit="1" customWidth="1"/>
    <col min="12" max="12" width="15.5546875" style="8" bestFit="1" customWidth="1"/>
    <col min="13" max="19" width="9.88671875" style="8" bestFit="1" customWidth="1"/>
    <col min="20" max="20" width="11.6640625" style="3" bestFit="1" customWidth="1"/>
    <col min="21" max="21" width="15.109375" style="3" bestFit="1" customWidth="1"/>
    <col min="22" max="16384" width="9" style="3"/>
  </cols>
  <sheetData>
    <row r="1" spans="1:49" ht="18" customHeight="1" x14ac:dyDescent="0.3">
      <c r="A1" s="1"/>
      <c r="B1" s="1"/>
      <c r="C1" s="2"/>
      <c r="D1" s="2"/>
      <c r="E1" s="2"/>
      <c r="F1" s="2"/>
      <c r="G1" s="2"/>
      <c r="H1" s="2"/>
      <c r="I1" s="2"/>
      <c r="J1" s="2"/>
      <c r="K1" s="2"/>
      <c r="L1" s="2"/>
      <c r="M1" s="2"/>
      <c r="N1" s="2"/>
      <c r="O1" s="2"/>
      <c r="P1" s="2"/>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ht="18" customHeight="1" x14ac:dyDescent="0.3">
      <c r="A2" s="1"/>
      <c r="B2" s="1"/>
      <c r="C2" s="2"/>
      <c r="D2" s="2"/>
      <c r="E2" s="2"/>
      <c r="F2" s="2"/>
      <c r="G2" s="2"/>
      <c r="H2" s="2"/>
      <c r="I2" s="2"/>
      <c r="J2" s="2"/>
      <c r="K2" s="2"/>
      <c r="L2" s="2"/>
      <c r="M2" s="2"/>
      <c r="N2" s="2"/>
      <c r="O2" s="2"/>
      <c r="P2" s="2"/>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18" customHeight="1" x14ac:dyDescent="0.3">
      <c r="A3" s="1"/>
      <c r="B3" s="1"/>
      <c r="C3" s="2"/>
      <c r="D3" s="2"/>
      <c r="E3" s="2"/>
      <c r="F3" s="2"/>
      <c r="G3" s="2"/>
      <c r="H3" s="2"/>
      <c r="I3" s="2"/>
      <c r="J3" s="2"/>
      <c r="K3" s="2"/>
      <c r="L3" s="2"/>
      <c r="M3" s="2"/>
      <c r="N3" s="2"/>
      <c r="O3" s="2"/>
      <c r="P3" s="2"/>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18" customHeight="1" x14ac:dyDescent="0.3">
      <c r="A4" s="1"/>
      <c r="B4" s="1"/>
      <c r="C4" s="2"/>
      <c r="D4" s="2"/>
      <c r="E4" s="2"/>
      <c r="F4" s="2"/>
      <c r="G4" s="2"/>
      <c r="H4" s="2"/>
      <c r="I4" s="2"/>
      <c r="J4" s="2"/>
      <c r="K4" s="2"/>
      <c r="L4" s="2"/>
      <c r="M4" s="2"/>
      <c r="N4" s="2"/>
      <c r="O4" s="2"/>
      <c r="P4" s="2"/>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18" customHeight="1" x14ac:dyDescent="0.3">
      <c r="A5" s="1"/>
      <c r="B5" s="1"/>
      <c r="C5" s="2"/>
      <c r="D5" s="2"/>
      <c r="E5" s="2"/>
      <c r="F5" s="2"/>
      <c r="G5" s="2"/>
      <c r="H5" s="2"/>
      <c r="I5" s="2"/>
      <c r="J5" s="2"/>
      <c r="K5" s="2"/>
      <c r="L5" s="2"/>
      <c r="M5" s="2"/>
      <c r="N5" s="2"/>
      <c r="O5" s="2"/>
      <c r="P5" s="2"/>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18" customHeight="1" x14ac:dyDescent="0.3">
      <c r="A6" s="1"/>
      <c r="B6" s="1"/>
      <c r="C6" s="2"/>
      <c r="D6" s="2"/>
      <c r="E6" s="2"/>
      <c r="F6" s="2"/>
      <c r="G6" s="2"/>
      <c r="H6" s="2"/>
      <c r="I6" s="2"/>
      <c r="J6" s="2"/>
      <c r="K6" s="2"/>
      <c r="L6" s="2"/>
      <c r="M6" s="2"/>
      <c r="N6" s="2"/>
      <c r="O6" s="2"/>
      <c r="P6" s="2"/>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row>
    <row r="7" spans="1:49" ht="18" customHeight="1" thickBot="1" x14ac:dyDescent="0.35">
      <c r="A7" s="1"/>
      <c r="B7" s="51" t="s">
        <v>186</v>
      </c>
      <c r="C7" s="119" t="s">
        <v>187</v>
      </c>
      <c r="D7" s="119" t="s">
        <v>188</v>
      </c>
      <c r="E7" s="119" t="s">
        <v>189</v>
      </c>
      <c r="F7" s="119" t="s">
        <v>483</v>
      </c>
      <c r="G7" s="119" t="s">
        <v>190</v>
      </c>
      <c r="H7" s="119" t="s">
        <v>191</v>
      </c>
      <c r="I7" s="24"/>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row>
    <row r="8" spans="1:49" ht="18" customHeight="1" x14ac:dyDescent="0.3">
      <c r="A8" s="1"/>
      <c r="B8" s="21">
        <v>1976</v>
      </c>
      <c r="C8" s="7" t="s">
        <v>599</v>
      </c>
      <c r="D8" s="7">
        <v>2848.5600000000004</v>
      </c>
      <c r="E8" s="120" t="s">
        <v>192</v>
      </c>
      <c r="F8" s="120" t="s">
        <v>193</v>
      </c>
      <c r="G8" s="24" t="s">
        <v>194</v>
      </c>
      <c r="H8" s="24" t="s">
        <v>192</v>
      </c>
      <c r="I8" s="24"/>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row>
    <row r="9" spans="1:49" ht="18" customHeight="1" x14ac:dyDescent="0.3">
      <c r="A9" s="1"/>
      <c r="B9" s="21">
        <v>2006</v>
      </c>
      <c r="C9" s="7" t="s">
        <v>599</v>
      </c>
      <c r="D9" s="7">
        <v>997.79</v>
      </c>
      <c r="E9" s="120" t="s">
        <v>192</v>
      </c>
      <c r="F9" s="120" t="s">
        <v>291</v>
      </c>
      <c r="G9" s="24" t="s">
        <v>194</v>
      </c>
      <c r="H9" s="24" t="s">
        <v>192</v>
      </c>
      <c r="I9" s="24"/>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row>
    <row r="10" spans="1:49" ht="18" customHeight="1" x14ac:dyDescent="0.3">
      <c r="A10" s="1"/>
      <c r="B10" s="21">
        <v>2013</v>
      </c>
      <c r="C10" s="7" t="s">
        <v>599</v>
      </c>
      <c r="D10" s="7">
        <v>2313.56</v>
      </c>
      <c r="E10" s="120" t="s">
        <v>192</v>
      </c>
      <c r="F10" s="120" t="s">
        <v>393</v>
      </c>
      <c r="G10" s="24" t="s">
        <v>194</v>
      </c>
      <c r="H10" s="24" t="s">
        <v>192</v>
      </c>
      <c r="I10" s="24"/>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row>
    <row r="11" spans="1:49" ht="18" customHeight="1" x14ac:dyDescent="0.3">
      <c r="A11" s="1"/>
      <c r="B11" s="21">
        <v>2011</v>
      </c>
      <c r="C11" s="7" t="s">
        <v>599</v>
      </c>
      <c r="D11" s="7">
        <v>1135.95</v>
      </c>
      <c r="E11" s="120" t="s">
        <v>222</v>
      </c>
      <c r="F11" s="120" t="s">
        <v>358</v>
      </c>
      <c r="G11" s="24" t="s">
        <v>194</v>
      </c>
      <c r="H11" s="24" t="s">
        <v>600</v>
      </c>
      <c r="I11" s="24"/>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row>
    <row r="12" spans="1:49" ht="18" customHeight="1" x14ac:dyDescent="0.3">
      <c r="A12" s="1"/>
      <c r="B12" s="21">
        <v>1980</v>
      </c>
      <c r="C12" s="7" t="s">
        <v>601</v>
      </c>
      <c r="D12" s="7">
        <v>1866.08</v>
      </c>
      <c r="E12" s="120" t="s">
        <v>602</v>
      </c>
      <c r="F12" s="120" t="s">
        <v>603</v>
      </c>
      <c r="G12" s="24" t="s">
        <v>194</v>
      </c>
      <c r="H12" s="24" t="s">
        <v>600</v>
      </c>
      <c r="I12" s="24"/>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row>
    <row r="13" spans="1:49" ht="18" customHeight="1" x14ac:dyDescent="0.3">
      <c r="A13" s="1"/>
      <c r="B13" s="21">
        <v>1998</v>
      </c>
      <c r="C13" s="7" t="s">
        <v>599</v>
      </c>
      <c r="D13" s="7">
        <v>1976.77</v>
      </c>
      <c r="E13" s="120" t="s">
        <v>602</v>
      </c>
      <c r="F13" s="120" t="s">
        <v>604</v>
      </c>
      <c r="G13" s="24" t="s">
        <v>194</v>
      </c>
      <c r="H13" s="24" t="s">
        <v>600</v>
      </c>
      <c r="I13" s="24"/>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row>
    <row r="14" spans="1:49" ht="18" customHeight="1" x14ac:dyDescent="0.3">
      <c r="A14" s="1"/>
      <c r="B14" s="21">
        <v>2015</v>
      </c>
      <c r="C14" s="7" t="s">
        <v>601</v>
      </c>
      <c r="D14" s="7">
        <v>1259.58</v>
      </c>
      <c r="E14" s="120" t="s">
        <v>192</v>
      </c>
      <c r="F14" s="120" t="s">
        <v>605</v>
      </c>
      <c r="G14" s="24" t="s">
        <v>194</v>
      </c>
      <c r="H14" s="24" t="s">
        <v>192</v>
      </c>
      <c r="I14" s="24"/>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row>
    <row r="15" spans="1:49" ht="18" customHeight="1" x14ac:dyDescent="0.3">
      <c r="A15" s="1"/>
      <c r="B15" s="21">
        <v>2002</v>
      </c>
      <c r="C15" s="7" t="s">
        <v>599</v>
      </c>
      <c r="D15" s="7">
        <v>1723.4</v>
      </c>
      <c r="E15" s="120" t="s">
        <v>606</v>
      </c>
      <c r="F15" s="120" t="s">
        <v>607</v>
      </c>
      <c r="G15" s="24" t="s">
        <v>194</v>
      </c>
      <c r="H15" s="24" t="s">
        <v>600</v>
      </c>
      <c r="I15" s="24"/>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row>
    <row r="16" spans="1:49" ht="18" customHeight="1" x14ac:dyDescent="0.3">
      <c r="A16" s="1"/>
      <c r="B16" s="21">
        <v>2009</v>
      </c>
      <c r="C16" s="7" t="s">
        <v>599</v>
      </c>
      <c r="D16" s="7">
        <v>1785.6</v>
      </c>
      <c r="E16" s="120" t="s">
        <v>335</v>
      </c>
      <c r="F16" s="120" t="s">
        <v>336</v>
      </c>
      <c r="G16" s="24" t="s">
        <v>194</v>
      </c>
      <c r="H16" s="24" t="s">
        <v>600</v>
      </c>
      <c r="I16" s="24"/>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row>
    <row r="17" spans="1:49" ht="18" customHeight="1" x14ac:dyDescent="0.3">
      <c r="A17" s="1"/>
      <c r="B17" s="21">
        <v>1982</v>
      </c>
      <c r="C17" s="7" t="s">
        <v>599</v>
      </c>
      <c r="D17" s="7">
        <v>3248.73</v>
      </c>
      <c r="E17" s="120" t="s">
        <v>192</v>
      </c>
      <c r="F17" s="120" t="s">
        <v>209</v>
      </c>
      <c r="G17" s="24" t="s">
        <v>194</v>
      </c>
      <c r="H17" s="24" t="s">
        <v>192</v>
      </c>
      <c r="I17" s="24"/>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row>
    <row r="18" spans="1:49" ht="18" customHeight="1" x14ac:dyDescent="0.3">
      <c r="A18" s="1"/>
      <c r="B18" s="21">
        <v>2002</v>
      </c>
      <c r="C18" s="7" t="s">
        <v>599</v>
      </c>
      <c r="D18" s="7">
        <v>2379.41</v>
      </c>
      <c r="E18" s="120" t="s">
        <v>608</v>
      </c>
      <c r="F18" s="120" t="s">
        <v>609</v>
      </c>
      <c r="G18" s="24" t="s">
        <v>194</v>
      </c>
      <c r="H18" s="24" t="s">
        <v>610</v>
      </c>
      <c r="I18" s="24"/>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row>
    <row r="19" spans="1:49" ht="18" customHeight="1" x14ac:dyDescent="0.3">
      <c r="A19" s="1"/>
      <c r="B19" s="21">
        <v>2014</v>
      </c>
      <c r="C19" s="7" t="s">
        <v>599</v>
      </c>
      <c r="D19" s="7">
        <v>842.35</v>
      </c>
      <c r="E19" s="120" t="s">
        <v>266</v>
      </c>
      <c r="F19" s="120" t="s">
        <v>611</v>
      </c>
      <c r="G19" s="24" t="s">
        <v>194</v>
      </c>
      <c r="H19" s="24" t="s">
        <v>610</v>
      </c>
      <c r="I19" s="24"/>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row>
    <row r="20" spans="1:49" ht="18" customHeight="1" x14ac:dyDescent="0.3">
      <c r="A20" s="1"/>
      <c r="B20" s="21">
        <v>1982</v>
      </c>
      <c r="C20" s="7" t="s">
        <v>601</v>
      </c>
      <c r="D20" s="7">
        <v>2844.9700000000003</v>
      </c>
      <c r="E20" s="120" t="s">
        <v>210</v>
      </c>
      <c r="F20" s="120" t="s">
        <v>612</v>
      </c>
      <c r="G20" s="24" t="s">
        <v>194</v>
      </c>
      <c r="H20" s="24" t="s">
        <v>613</v>
      </c>
      <c r="I20" s="24"/>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row>
    <row r="21" spans="1:49" ht="18" customHeight="1" x14ac:dyDescent="0.3">
      <c r="A21" s="1"/>
      <c r="B21" s="21">
        <v>2011</v>
      </c>
      <c r="C21" s="7" t="s">
        <v>599</v>
      </c>
      <c r="D21" s="7">
        <v>1966.73</v>
      </c>
      <c r="E21" s="120" t="s">
        <v>192</v>
      </c>
      <c r="F21" s="120" t="s">
        <v>614</v>
      </c>
      <c r="G21" s="24" t="s">
        <v>194</v>
      </c>
      <c r="H21" s="24" t="s">
        <v>192</v>
      </c>
      <c r="I21" s="24"/>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row>
    <row r="22" spans="1:49" ht="18" customHeight="1" x14ac:dyDescent="0.3">
      <c r="A22" s="1"/>
      <c r="B22" s="21">
        <v>2006</v>
      </c>
      <c r="C22" s="7" t="s">
        <v>599</v>
      </c>
      <c r="D22" s="7">
        <v>1871.56</v>
      </c>
      <c r="E22" s="120" t="s">
        <v>192</v>
      </c>
      <c r="F22" s="120" t="s">
        <v>300</v>
      </c>
      <c r="G22" s="24" t="s">
        <v>194</v>
      </c>
      <c r="H22" s="24" t="s">
        <v>192</v>
      </c>
      <c r="I22" s="24"/>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row>
    <row r="23" spans="1:49" ht="18" customHeight="1" x14ac:dyDescent="0.3">
      <c r="A23" s="1"/>
      <c r="B23" s="21">
        <v>1984</v>
      </c>
      <c r="C23" s="7" t="s">
        <v>599</v>
      </c>
      <c r="D23" s="7">
        <v>3451.84</v>
      </c>
      <c r="E23" s="120" t="s">
        <v>192</v>
      </c>
      <c r="F23" s="120" t="s">
        <v>214</v>
      </c>
      <c r="G23" s="24" t="s">
        <v>194</v>
      </c>
      <c r="H23" s="24" t="s">
        <v>192</v>
      </c>
      <c r="I23" s="24"/>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row>
    <row r="24" spans="1:49" ht="18" customHeight="1" x14ac:dyDescent="0.3">
      <c r="A24" s="1"/>
      <c r="B24" s="21">
        <v>2006</v>
      </c>
      <c r="C24" s="7" t="s">
        <v>599</v>
      </c>
      <c r="D24" s="7">
        <v>1126.8699999999999</v>
      </c>
      <c r="E24" s="120" t="s">
        <v>293</v>
      </c>
      <c r="F24" s="120" t="s">
        <v>294</v>
      </c>
      <c r="G24" s="24" t="s">
        <v>194</v>
      </c>
      <c r="H24" s="24" t="s">
        <v>615</v>
      </c>
      <c r="I24" s="24"/>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row>
    <row r="25" spans="1:49" ht="18" customHeight="1" x14ac:dyDescent="0.3">
      <c r="A25" s="1"/>
      <c r="B25" s="21">
        <v>2006</v>
      </c>
      <c r="C25" s="7" t="s">
        <v>599</v>
      </c>
      <c r="D25" s="7">
        <v>1192.6199999999999</v>
      </c>
      <c r="E25" s="120" t="s">
        <v>616</v>
      </c>
      <c r="F25" s="120" t="s">
        <v>298</v>
      </c>
      <c r="G25" s="24" t="s">
        <v>194</v>
      </c>
      <c r="H25" s="24" t="s">
        <v>615</v>
      </c>
      <c r="I25" s="24"/>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row>
    <row r="26" spans="1:49" ht="18" customHeight="1" x14ac:dyDescent="0.3">
      <c r="A26" s="1"/>
      <c r="B26" s="21">
        <v>2016</v>
      </c>
      <c r="C26" s="7" t="s">
        <v>599</v>
      </c>
      <c r="D26" s="7">
        <v>2235.56</v>
      </c>
      <c r="E26" s="120" t="s">
        <v>617</v>
      </c>
      <c r="F26" s="120" t="s">
        <v>618</v>
      </c>
      <c r="G26" s="24" t="s">
        <v>194</v>
      </c>
      <c r="H26" s="24" t="s">
        <v>192</v>
      </c>
      <c r="I26" s="24"/>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row>
    <row r="27" spans="1:49" ht="18" customHeight="1" x14ac:dyDescent="0.3">
      <c r="A27" s="1"/>
      <c r="B27" s="21">
        <v>2006</v>
      </c>
      <c r="C27" s="7" t="s">
        <v>599</v>
      </c>
      <c r="D27" s="7">
        <v>999.77</v>
      </c>
      <c r="E27" s="120" t="s">
        <v>295</v>
      </c>
      <c r="F27" s="120" t="s">
        <v>296</v>
      </c>
      <c r="G27" s="24" t="s">
        <v>194</v>
      </c>
      <c r="H27" s="24" t="s">
        <v>615</v>
      </c>
      <c r="I27" s="24"/>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row>
    <row r="28" spans="1:49" ht="18" customHeight="1" x14ac:dyDescent="0.3">
      <c r="A28" s="1"/>
      <c r="B28" s="21">
        <v>2005</v>
      </c>
      <c r="C28" s="7" t="s">
        <v>599</v>
      </c>
      <c r="D28" s="7">
        <v>1747.41</v>
      </c>
      <c r="E28" s="120" t="s">
        <v>619</v>
      </c>
      <c r="F28" s="120" t="s">
        <v>620</v>
      </c>
      <c r="G28" s="24" t="s">
        <v>194</v>
      </c>
      <c r="H28" s="24" t="s">
        <v>615</v>
      </c>
      <c r="I28" s="24"/>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row>
    <row r="29" spans="1:49" ht="18" customHeight="1" x14ac:dyDescent="0.3">
      <c r="A29" s="1"/>
      <c r="B29" s="21">
        <v>2010</v>
      </c>
      <c r="C29" s="7" t="s">
        <v>599</v>
      </c>
      <c r="D29" s="7">
        <v>1428.33</v>
      </c>
      <c r="E29" s="120" t="s">
        <v>346</v>
      </c>
      <c r="F29" s="120" t="s">
        <v>347</v>
      </c>
      <c r="G29" s="24" t="s">
        <v>194</v>
      </c>
      <c r="H29" s="24" t="s">
        <v>615</v>
      </c>
      <c r="I29" s="24"/>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row>
    <row r="30" spans="1:49" ht="18" customHeight="1" x14ac:dyDescent="0.3">
      <c r="A30" s="1"/>
      <c r="B30" s="21">
        <v>1988</v>
      </c>
      <c r="C30" s="7" t="s">
        <v>599</v>
      </c>
      <c r="D30" s="7">
        <v>1679.51</v>
      </c>
      <c r="E30" s="120" t="s">
        <v>192</v>
      </c>
      <c r="F30" s="120" t="s">
        <v>221</v>
      </c>
      <c r="G30" s="24" t="s">
        <v>194</v>
      </c>
      <c r="H30" s="24" t="s">
        <v>192</v>
      </c>
      <c r="I30" s="24"/>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row>
    <row r="31" spans="1:49" ht="18" customHeight="1" x14ac:dyDescent="0.3">
      <c r="A31" s="1"/>
      <c r="B31" s="21">
        <v>2006</v>
      </c>
      <c r="C31" s="7" t="s">
        <v>599</v>
      </c>
      <c r="D31" s="7">
        <v>1179.28</v>
      </c>
      <c r="E31" s="120" t="s">
        <v>621</v>
      </c>
      <c r="F31" s="120" t="s">
        <v>622</v>
      </c>
      <c r="G31" s="24" t="s">
        <v>194</v>
      </c>
      <c r="H31" s="24" t="s">
        <v>615</v>
      </c>
      <c r="I31" s="24"/>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row>
    <row r="32" spans="1:49" ht="18" customHeight="1" x14ac:dyDescent="0.3">
      <c r="A32" s="1"/>
      <c r="B32" s="21">
        <v>2005</v>
      </c>
      <c r="C32" s="7" t="s">
        <v>599</v>
      </c>
      <c r="D32" s="7">
        <v>1896</v>
      </c>
      <c r="E32" s="120" t="s">
        <v>284</v>
      </c>
      <c r="F32" s="120" t="s">
        <v>285</v>
      </c>
      <c r="G32" s="24" t="s">
        <v>194</v>
      </c>
      <c r="H32" s="24" t="s">
        <v>613</v>
      </c>
      <c r="I32" s="24"/>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row>
    <row r="33" spans="1:49" ht="18" customHeight="1" x14ac:dyDescent="0.3">
      <c r="A33" s="1"/>
      <c r="B33" s="21">
        <v>2013</v>
      </c>
      <c r="C33" s="7" t="s">
        <v>599</v>
      </c>
      <c r="D33" s="7">
        <v>1073.1600000000001</v>
      </c>
      <c r="E33" s="120" t="s">
        <v>384</v>
      </c>
      <c r="F33" s="120" t="s">
        <v>623</v>
      </c>
      <c r="G33" s="24" t="s">
        <v>194</v>
      </c>
      <c r="H33" s="24" t="s">
        <v>610</v>
      </c>
      <c r="I33" s="24"/>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row>
    <row r="34" spans="1:49" ht="18" customHeight="1" x14ac:dyDescent="0.3">
      <c r="A34" s="1"/>
      <c r="B34" s="21">
        <v>2011</v>
      </c>
      <c r="C34" s="7" t="s">
        <v>599</v>
      </c>
      <c r="D34" s="7">
        <v>1637.64</v>
      </c>
      <c r="E34" s="120" t="s">
        <v>266</v>
      </c>
      <c r="F34" s="120" t="s">
        <v>354</v>
      </c>
      <c r="G34" s="24" t="s">
        <v>194</v>
      </c>
      <c r="H34" s="24" t="s">
        <v>610</v>
      </c>
      <c r="I34" s="24"/>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row>
    <row r="35" spans="1:49" ht="18" customHeight="1" x14ac:dyDescent="0.3">
      <c r="A35" s="1"/>
      <c r="B35" s="21">
        <v>1988</v>
      </c>
      <c r="C35" s="7" t="s">
        <v>601</v>
      </c>
      <c r="D35" s="7">
        <v>2555.41</v>
      </c>
      <c r="E35" s="120" t="s">
        <v>222</v>
      </c>
      <c r="F35" s="120" t="s">
        <v>624</v>
      </c>
      <c r="G35" s="24" t="s">
        <v>194</v>
      </c>
      <c r="H35" s="24" t="s">
        <v>600</v>
      </c>
      <c r="I35" s="24"/>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row>
    <row r="36" spans="1:49" ht="18" customHeight="1" x14ac:dyDescent="0.3">
      <c r="A36" s="1"/>
      <c r="B36" s="21">
        <v>2004</v>
      </c>
      <c r="C36" s="7" t="s">
        <v>599</v>
      </c>
      <c r="D36" s="7">
        <v>1685.5</v>
      </c>
      <c r="E36" s="120" t="s">
        <v>274</v>
      </c>
      <c r="F36" s="120" t="s">
        <v>275</v>
      </c>
      <c r="G36" s="24" t="s">
        <v>276</v>
      </c>
      <c r="H36" s="24" t="s">
        <v>625</v>
      </c>
      <c r="I36" s="24"/>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row>
    <row r="37" spans="1:49" ht="18" customHeight="1" x14ac:dyDescent="0.3">
      <c r="A37" s="1"/>
      <c r="B37" s="21">
        <v>2011</v>
      </c>
      <c r="C37" s="7" t="s">
        <v>599</v>
      </c>
      <c r="D37" s="7">
        <v>1815.96</v>
      </c>
      <c r="E37" s="120" t="s">
        <v>352</v>
      </c>
      <c r="F37" s="120" t="s">
        <v>626</v>
      </c>
      <c r="G37" s="24" t="s">
        <v>194</v>
      </c>
      <c r="H37" s="24" t="s">
        <v>600</v>
      </c>
      <c r="I37" s="24"/>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row>
    <row r="38" spans="1:49" ht="18" customHeight="1" x14ac:dyDescent="0.3">
      <c r="A38" s="1"/>
      <c r="B38" s="21">
        <v>1977</v>
      </c>
      <c r="C38" s="7" t="s">
        <v>601</v>
      </c>
      <c r="D38" s="7">
        <v>2283.29</v>
      </c>
      <c r="E38" s="120" t="s">
        <v>195</v>
      </c>
      <c r="F38" s="120" t="s">
        <v>627</v>
      </c>
      <c r="G38" s="24" t="s">
        <v>194</v>
      </c>
      <c r="H38" s="24" t="s">
        <v>615</v>
      </c>
      <c r="I38" s="24"/>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row>
    <row r="39" spans="1:49" ht="18" customHeight="1" x14ac:dyDescent="0.3">
      <c r="A39" s="1"/>
      <c r="B39" s="21">
        <v>2007</v>
      </c>
      <c r="C39" s="7" t="s">
        <v>599</v>
      </c>
      <c r="D39" s="7">
        <v>1270.76</v>
      </c>
      <c r="E39" s="120" t="s">
        <v>628</v>
      </c>
      <c r="F39" s="120" t="s">
        <v>629</v>
      </c>
      <c r="G39" s="24" t="s">
        <v>194</v>
      </c>
      <c r="H39" s="24" t="s">
        <v>615</v>
      </c>
      <c r="I39" s="24"/>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row>
    <row r="40" spans="1:49" ht="18" customHeight="1" x14ac:dyDescent="0.3">
      <c r="A40" s="1"/>
      <c r="B40" s="21">
        <v>2015</v>
      </c>
      <c r="C40" s="7" t="s">
        <v>599</v>
      </c>
      <c r="D40" s="7">
        <v>1010.24</v>
      </c>
      <c r="E40" s="120" t="s">
        <v>195</v>
      </c>
      <c r="F40" s="120" t="s">
        <v>630</v>
      </c>
      <c r="G40" s="24" t="s">
        <v>194</v>
      </c>
      <c r="H40" s="24" t="s">
        <v>615</v>
      </c>
      <c r="I40" s="24"/>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row>
    <row r="41" spans="1:49" ht="18" customHeight="1" x14ac:dyDescent="0.3">
      <c r="A41" s="1"/>
      <c r="B41" s="21">
        <v>2010</v>
      </c>
      <c r="C41" s="7" t="s">
        <v>599</v>
      </c>
      <c r="D41" s="7">
        <v>1114.04</v>
      </c>
      <c r="E41" s="120" t="s">
        <v>192</v>
      </c>
      <c r="F41" s="120" t="s">
        <v>631</v>
      </c>
      <c r="G41" s="24" t="s">
        <v>194</v>
      </c>
      <c r="H41" s="24" t="s">
        <v>192</v>
      </c>
      <c r="I41" s="24"/>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row>
    <row r="42" spans="1:49" ht="18" customHeight="1" x14ac:dyDescent="0.3">
      <c r="A42" s="1"/>
      <c r="B42" s="21">
        <v>1980</v>
      </c>
      <c r="C42" s="7" t="s">
        <v>599</v>
      </c>
      <c r="D42" s="7">
        <v>2111.48</v>
      </c>
      <c r="E42" s="120" t="s">
        <v>195</v>
      </c>
      <c r="F42" s="120" t="s">
        <v>205</v>
      </c>
      <c r="G42" s="24" t="s">
        <v>194</v>
      </c>
      <c r="H42" s="24" t="s">
        <v>615</v>
      </c>
      <c r="I42" s="24"/>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row>
    <row r="43" spans="1:49" ht="18" customHeight="1" x14ac:dyDescent="0.3">
      <c r="A43" s="1"/>
      <c r="B43" s="21">
        <v>2007</v>
      </c>
      <c r="C43" s="7" t="s">
        <v>599</v>
      </c>
      <c r="D43" s="7">
        <v>999.87</v>
      </c>
      <c r="E43" s="120" t="s">
        <v>632</v>
      </c>
      <c r="F43" s="120" t="s">
        <v>306</v>
      </c>
      <c r="G43" s="24" t="s">
        <v>194</v>
      </c>
      <c r="H43" s="24" t="s">
        <v>615</v>
      </c>
      <c r="I43" s="24"/>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row>
    <row r="44" spans="1:49" ht="18" customHeight="1" x14ac:dyDescent="0.3">
      <c r="A44" s="1"/>
      <c r="B44" s="21">
        <v>2002</v>
      </c>
      <c r="C44" s="7" t="s">
        <v>599</v>
      </c>
      <c r="D44" s="7">
        <v>2525.94</v>
      </c>
      <c r="E44" s="120" t="s">
        <v>195</v>
      </c>
      <c r="F44" s="120" t="s">
        <v>256</v>
      </c>
      <c r="G44" s="24" t="s">
        <v>194</v>
      </c>
      <c r="H44" s="24" t="s">
        <v>615</v>
      </c>
      <c r="I44" s="24"/>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row>
    <row r="45" spans="1:49" ht="18" customHeight="1" x14ac:dyDescent="0.3">
      <c r="A45" s="1"/>
      <c r="B45" s="21">
        <v>2011</v>
      </c>
      <c r="C45" s="7" t="s">
        <v>599</v>
      </c>
      <c r="D45" s="7">
        <v>998.51</v>
      </c>
      <c r="E45" s="120" t="s">
        <v>633</v>
      </c>
      <c r="F45" s="120" t="s">
        <v>350</v>
      </c>
      <c r="G45" s="24" t="s">
        <v>194</v>
      </c>
      <c r="H45" s="24" t="s">
        <v>615</v>
      </c>
      <c r="I45" s="24"/>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row>
    <row r="46" spans="1:49" ht="18" customHeight="1" x14ac:dyDescent="0.3">
      <c r="A46" s="1"/>
      <c r="B46" s="21">
        <v>1981</v>
      </c>
      <c r="C46" s="7" t="s">
        <v>599</v>
      </c>
      <c r="D46" s="7">
        <v>2158.0500000000002</v>
      </c>
      <c r="E46" s="120" t="s">
        <v>206</v>
      </c>
      <c r="F46" s="120" t="s">
        <v>634</v>
      </c>
      <c r="G46" s="24" t="s">
        <v>194</v>
      </c>
      <c r="H46" s="24" t="s">
        <v>615</v>
      </c>
      <c r="I46" s="24"/>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row>
    <row r="47" spans="1:49" ht="18" customHeight="1" x14ac:dyDescent="0.3">
      <c r="A47" s="1"/>
      <c r="B47" s="21">
        <v>2007</v>
      </c>
      <c r="C47" s="7" t="s">
        <v>599</v>
      </c>
      <c r="D47" s="7">
        <v>2244.33</v>
      </c>
      <c r="E47" s="120" t="s">
        <v>311</v>
      </c>
      <c r="F47" s="120" t="s">
        <v>635</v>
      </c>
      <c r="G47" s="24" t="s">
        <v>312</v>
      </c>
      <c r="H47" s="24" t="s">
        <v>636</v>
      </c>
      <c r="I47" s="24"/>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row>
    <row r="48" spans="1:49" ht="18" customHeight="1" x14ac:dyDescent="0.3">
      <c r="A48" s="1"/>
      <c r="B48" s="21">
        <v>2003</v>
      </c>
      <c r="C48" s="7" t="s">
        <v>599</v>
      </c>
      <c r="D48" s="7">
        <v>2155.35</v>
      </c>
      <c r="E48" s="120" t="s">
        <v>262</v>
      </c>
      <c r="F48" s="120" t="s">
        <v>263</v>
      </c>
      <c r="G48" s="24" t="s">
        <v>264</v>
      </c>
      <c r="H48" s="24" t="s">
        <v>637</v>
      </c>
      <c r="I48" s="24"/>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row>
    <row r="49" spans="1:49" ht="18" customHeight="1" x14ac:dyDescent="0.3">
      <c r="A49" s="1"/>
      <c r="B49" s="21">
        <v>1987</v>
      </c>
      <c r="C49" s="7" t="s">
        <v>599</v>
      </c>
      <c r="D49" s="7">
        <v>1956.39</v>
      </c>
      <c r="E49" s="120" t="s">
        <v>628</v>
      </c>
      <c r="F49" s="120" t="s">
        <v>638</v>
      </c>
      <c r="G49" s="24" t="s">
        <v>194</v>
      </c>
      <c r="H49" s="24" t="s">
        <v>615</v>
      </c>
      <c r="I49" s="24"/>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row>
    <row r="50" spans="1:49" ht="18" customHeight="1" x14ac:dyDescent="0.3">
      <c r="A50" s="1"/>
      <c r="B50" s="21">
        <v>2008</v>
      </c>
      <c r="C50" s="7" t="s">
        <v>599</v>
      </c>
      <c r="D50" s="7">
        <v>1476.35</v>
      </c>
      <c r="E50" s="120" t="s">
        <v>372</v>
      </c>
      <c r="F50" s="120" t="s">
        <v>639</v>
      </c>
      <c r="G50" s="24" t="s">
        <v>194</v>
      </c>
      <c r="H50" s="24" t="s">
        <v>615</v>
      </c>
      <c r="I50" s="24"/>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row>
    <row r="51" spans="1:49" ht="18" customHeight="1" x14ac:dyDescent="0.3">
      <c r="A51" s="1"/>
      <c r="B51" s="21">
        <v>2021</v>
      </c>
      <c r="C51" s="7" t="s">
        <v>599</v>
      </c>
      <c r="D51" s="7">
        <v>1272.3</v>
      </c>
      <c r="E51" s="120" t="s">
        <v>437</v>
      </c>
      <c r="F51" s="120" t="s">
        <v>438</v>
      </c>
      <c r="G51" s="24" t="s">
        <v>194</v>
      </c>
      <c r="H51" s="24" t="s">
        <v>615</v>
      </c>
      <c r="I51" s="24"/>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row>
    <row r="52" spans="1:49" ht="18" customHeight="1" x14ac:dyDescent="0.3">
      <c r="A52" s="1"/>
      <c r="B52" s="21">
        <v>1989</v>
      </c>
      <c r="C52" s="7" t="s">
        <v>599</v>
      </c>
      <c r="D52" s="7">
        <v>2041.57</v>
      </c>
      <c r="E52" s="120" t="s">
        <v>226</v>
      </c>
      <c r="F52" s="120" t="s">
        <v>640</v>
      </c>
      <c r="G52" s="24" t="s">
        <v>194</v>
      </c>
      <c r="H52" s="24" t="s">
        <v>615</v>
      </c>
      <c r="I52" s="24"/>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row>
    <row r="53" spans="1:49" ht="18" customHeight="1" x14ac:dyDescent="0.3">
      <c r="A53" s="1"/>
      <c r="B53" s="21">
        <v>2003</v>
      </c>
      <c r="C53" s="7" t="s">
        <v>599</v>
      </c>
      <c r="D53" s="7">
        <v>2245.73</v>
      </c>
      <c r="E53" s="120" t="s">
        <v>266</v>
      </c>
      <c r="F53" s="120" t="s">
        <v>641</v>
      </c>
      <c r="G53" s="24" t="s">
        <v>194</v>
      </c>
      <c r="H53" s="24" t="s">
        <v>610</v>
      </c>
      <c r="I53" s="24"/>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row>
    <row r="54" spans="1:49" ht="18" customHeight="1" x14ac:dyDescent="0.3">
      <c r="A54" s="1"/>
      <c r="B54" s="21">
        <v>2020</v>
      </c>
      <c r="C54" s="7" t="s">
        <v>599</v>
      </c>
      <c r="D54" s="7">
        <v>1300.08</v>
      </c>
      <c r="E54" s="120" t="s">
        <v>642</v>
      </c>
      <c r="F54" s="120" t="s">
        <v>643</v>
      </c>
      <c r="G54" s="24" t="s">
        <v>276</v>
      </c>
      <c r="H54" s="24" t="s">
        <v>644</v>
      </c>
      <c r="I54" s="24"/>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row>
    <row r="55" spans="1:49" ht="18" customHeight="1" x14ac:dyDescent="0.3">
      <c r="A55" s="1"/>
      <c r="B55" s="21">
        <v>2010</v>
      </c>
      <c r="C55" s="7" t="s">
        <v>599</v>
      </c>
      <c r="D55" s="7">
        <v>1746.71</v>
      </c>
      <c r="E55" s="120" t="s">
        <v>339</v>
      </c>
      <c r="F55" s="120" t="s">
        <v>645</v>
      </c>
      <c r="G55" s="24" t="s">
        <v>276</v>
      </c>
      <c r="H55" s="24" t="s">
        <v>625</v>
      </c>
      <c r="I55" s="24"/>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row>
    <row r="56" spans="1:49" ht="18" customHeight="1" x14ac:dyDescent="0.3">
      <c r="A56" s="1"/>
      <c r="B56" s="21">
        <v>1994</v>
      </c>
      <c r="C56" s="7" t="s">
        <v>599</v>
      </c>
      <c r="D56" s="7">
        <v>2449.77</v>
      </c>
      <c r="E56" s="120" t="s">
        <v>192</v>
      </c>
      <c r="F56" s="120" t="s">
        <v>646</v>
      </c>
      <c r="G56" s="24" t="s">
        <v>194</v>
      </c>
      <c r="H56" s="24" t="s">
        <v>192</v>
      </c>
      <c r="I56" s="24"/>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row>
    <row r="57" spans="1:49" ht="18" customHeight="1" x14ac:dyDescent="0.3">
      <c r="A57" s="1"/>
      <c r="B57" s="21">
        <v>2007</v>
      </c>
      <c r="C57" s="7" t="s">
        <v>599</v>
      </c>
      <c r="D57" s="7">
        <v>2721.37</v>
      </c>
      <c r="E57" s="120" t="s">
        <v>215</v>
      </c>
      <c r="F57" s="120" t="s">
        <v>647</v>
      </c>
      <c r="G57" s="24" t="s">
        <v>217</v>
      </c>
      <c r="H57" s="24" t="s">
        <v>648</v>
      </c>
      <c r="I57" s="24"/>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row>
    <row r="58" spans="1:49" ht="18" customHeight="1" x14ac:dyDescent="0.3">
      <c r="A58" s="1"/>
      <c r="B58" s="21">
        <v>2021</v>
      </c>
      <c r="C58" s="7" t="s">
        <v>599</v>
      </c>
      <c r="D58" s="7">
        <v>1382.17</v>
      </c>
      <c r="E58" s="120" t="s">
        <v>435</v>
      </c>
      <c r="F58" s="120" t="s">
        <v>649</v>
      </c>
      <c r="G58" s="24" t="s">
        <v>197</v>
      </c>
      <c r="H58" s="24" t="s">
        <v>650</v>
      </c>
      <c r="I58" s="24"/>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row>
    <row r="59" spans="1:49" ht="18" customHeight="1" x14ac:dyDescent="0.3">
      <c r="A59" s="1"/>
      <c r="B59" s="21">
        <v>2012</v>
      </c>
      <c r="C59" s="7" t="s">
        <v>599</v>
      </c>
      <c r="D59" s="7">
        <v>1737.77</v>
      </c>
      <c r="E59" s="120" t="s">
        <v>226</v>
      </c>
      <c r="F59" s="120" t="s">
        <v>374</v>
      </c>
      <c r="G59" s="24" t="s">
        <v>194</v>
      </c>
      <c r="H59" s="24" t="s">
        <v>615</v>
      </c>
      <c r="I59" s="24"/>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row>
    <row r="60" spans="1:49" ht="18" customHeight="1" x14ac:dyDescent="0.3">
      <c r="A60" s="1"/>
      <c r="B60" s="21">
        <v>2007</v>
      </c>
      <c r="C60" s="7" t="s">
        <v>599</v>
      </c>
      <c r="D60" s="7">
        <v>1240.22</v>
      </c>
      <c r="E60" s="120" t="s">
        <v>200</v>
      </c>
      <c r="F60" s="120" t="s">
        <v>314</v>
      </c>
      <c r="G60" s="24" t="s">
        <v>201</v>
      </c>
      <c r="H60" s="24" t="s">
        <v>200</v>
      </c>
      <c r="I60" s="24"/>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row>
    <row r="61" spans="1:49" ht="18" customHeight="1" x14ac:dyDescent="0.3">
      <c r="A61" s="1"/>
      <c r="B61" s="21">
        <v>1998</v>
      </c>
      <c r="C61" s="7" t="s">
        <v>599</v>
      </c>
      <c r="D61" s="7">
        <v>2453.75</v>
      </c>
      <c r="E61" s="120" t="s">
        <v>247</v>
      </c>
      <c r="F61" s="120" t="s">
        <v>651</v>
      </c>
      <c r="G61" s="24" t="s">
        <v>194</v>
      </c>
      <c r="H61" s="24" t="s">
        <v>610</v>
      </c>
      <c r="I61" s="24"/>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row>
    <row r="62" spans="1:49" ht="18" customHeight="1" x14ac:dyDescent="0.3">
      <c r="A62" s="1"/>
      <c r="B62" s="21">
        <v>1991</v>
      </c>
      <c r="C62" s="7" t="s">
        <v>599</v>
      </c>
      <c r="D62" s="7">
        <v>2269.1</v>
      </c>
      <c r="E62" s="120" t="s">
        <v>192</v>
      </c>
      <c r="F62" s="120" t="s">
        <v>227</v>
      </c>
      <c r="G62" s="24" t="s">
        <v>194</v>
      </c>
      <c r="H62" s="24" t="s">
        <v>192</v>
      </c>
      <c r="I62" s="24"/>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row>
    <row r="63" spans="1:49" ht="18" customHeight="1" x14ac:dyDescent="0.3">
      <c r="A63" s="1"/>
      <c r="B63" s="21">
        <v>2007</v>
      </c>
      <c r="C63" s="7" t="s">
        <v>599</v>
      </c>
      <c r="D63" s="7">
        <v>1985.15</v>
      </c>
      <c r="E63" s="120" t="s">
        <v>200</v>
      </c>
      <c r="F63" s="120" t="s">
        <v>652</v>
      </c>
      <c r="G63" s="24" t="s">
        <v>201</v>
      </c>
      <c r="H63" s="24" t="s">
        <v>200</v>
      </c>
      <c r="I63" s="24"/>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row>
    <row r="64" spans="1:49" ht="18" customHeight="1" x14ac:dyDescent="0.3">
      <c r="A64" s="1"/>
      <c r="B64" s="21">
        <v>2011</v>
      </c>
      <c r="C64" s="7" t="s">
        <v>599</v>
      </c>
      <c r="D64" s="7">
        <v>1143.0999999999999</v>
      </c>
      <c r="E64" s="120" t="s">
        <v>353</v>
      </c>
      <c r="F64" s="120" t="s">
        <v>653</v>
      </c>
      <c r="G64" s="24" t="s">
        <v>204</v>
      </c>
      <c r="H64" s="24" t="s">
        <v>654</v>
      </c>
      <c r="I64" s="24"/>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row>
    <row r="65" spans="1:49" ht="18" customHeight="1" x14ac:dyDescent="0.3">
      <c r="A65" s="1"/>
      <c r="B65" s="21">
        <v>1988</v>
      </c>
      <c r="C65" s="7" t="s">
        <v>599</v>
      </c>
      <c r="D65" s="7">
        <v>2958</v>
      </c>
      <c r="E65" s="120" t="s">
        <v>192</v>
      </c>
      <c r="F65" s="120" t="s">
        <v>223</v>
      </c>
      <c r="G65" s="24" t="s">
        <v>194</v>
      </c>
      <c r="H65" s="24" t="s">
        <v>192</v>
      </c>
      <c r="I65" s="24"/>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ht="18" customHeight="1" x14ac:dyDescent="0.3">
      <c r="A66" s="1"/>
      <c r="B66" s="21">
        <v>2007</v>
      </c>
      <c r="C66" s="7" t="s">
        <v>599</v>
      </c>
      <c r="D66" s="7">
        <v>2530.9300000000003</v>
      </c>
      <c r="E66" s="120" t="s">
        <v>192</v>
      </c>
      <c r="F66" s="120" t="s">
        <v>655</v>
      </c>
      <c r="G66" s="24" t="s">
        <v>194</v>
      </c>
      <c r="H66" s="24" t="s">
        <v>192</v>
      </c>
      <c r="I66" s="24"/>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row r="67" spans="1:49" ht="18" customHeight="1" x14ac:dyDescent="0.3">
      <c r="A67" s="1"/>
      <c r="B67" s="21">
        <v>2012</v>
      </c>
      <c r="C67" s="7" t="s">
        <v>599</v>
      </c>
      <c r="D67" s="7">
        <v>2265.23</v>
      </c>
      <c r="E67" s="120" t="s">
        <v>195</v>
      </c>
      <c r="F67" s="120" t="s">
        <v>656</v>
      </c>
      <c r="G67" s="24" t="s">
        <v>194</v>
      </c>
      <c r="H67" s="24" t="s">
        <v>615</v>
      </c>
      <c r="I67" s="24"/>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row>
    <row r="68" spans="1:49" ht="18" customHeight="1" x14ac:dyDescent="0.3">
      <c r="A68" s="1"/>
      <c r="B68" s="21">
        <v>1991</v>
      </c>
      <c r="C68" s="7" t="s">
        <v>599</v>
      </c>
      <c r="D68" s="7">
        <v>2845.67</v>
      </c>
      <c r="E68" s="120" t="s">
        <v>192</v>
      </c>
      <c r="F68" s="120" t="s">
        <v>228</v>
      </c>
      <c r="G68" s="24" t="s">
        <v>194</v>
      </c>
      <c r="H68" s="24" t="s">
        <v>192</v>
      </c>
      <c r="I68" s="24"/>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row>
    <row r="69" spans="1:49" ht="18" customHeight="1" x14ac:dyDescent="0.3">
      <c r="A69" s="1"/>
      <c r="B69" s="21">
        <v>2019</v>
      </c>
      <c r="C69" s="7" t="s">
        <v>599</v>
      </c>
      <c r="D69" s="7">
        <v>1403.73</v>
      </c>
      <c r="E69" s="120" t="s">
        <v>425</v>
      </c>
      <c r="F69" s="120" t="s">
        <v>657</v>
      </c>
      <c r="G69" s="24" t="s">
        <v>194</v>
      </c>
      <c r="H69" s="24" t="s">
        <v>658</v>
      </c>
      <c r="I69" s="24"/>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row>
    <row r="70" spans="1:49" ht="18" customHeight="1" x14ac:dyDescent="0.3">
      <c r="A70" s="1"/>
      <c r="B70" s="21">
        <v>2007</v>
      </c>
      <c r="C70" s="7" t="s">
        <v>599</v>
      </c>
      <c r="D70" s="7">
        <v>1291.8</v>
      </c>
      <c r="E70" s="120" t="s">
        <v>305</v>
      </c>
      <c r="F70" s="120" t="s">
        <v>659</v>
      </c>
      <c r="G70" s="24" t="s">
        <v>194</v>
      </c>
      <c r="H70" s="24" t="s">
        <v>613</v>
      </c>
      <c r="I70" s="24"/>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row>
    <row r="71" spans="1:49" ht="18" customHeight="1" x14ac:dyDescent="0.3">
      <c r="A71" s="1"/>
      <c r="B71" s="21">
        <v>2004</v>
      </c>
      <c r="C71" s="7" t="s">
        <v>599</v>
      </c>
      <c r="D71" s="7">
        <v>2170.89</v>
      </c>
      <c r="E71" s="120" t="s">
        <v>192</v>
      </c>
      <c r="F71" s="120" t="s">
        <v>272</v>
      </c>
      <c r="G71" s="24" t="s">
        <v>194</v>
      </c>
      <c r="H71" s="24" t="s">
        <v>192</v>
      </c>
      <c r="I71" s="24"/>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row>
    <row r="72" spans="1:49" ht="18" customHeight="1" x14ac:dyDescent="0.3">
      <c r="A72" s="1"/>
      <c r="B72" s="21">
        <v>2020</v>
      </c>
      <c r="C72" s="7" t="s">
        <v>599</v>
      </c>
      <c r="D72" s="7">
        <v>2316.8200000000002</v>
      </c>
      <c r="E72" s="120" t="s">
        <v>192</v>
      </c>
      <c r="F72" s="120" t="s">
        <v>434</v>
      </c>
      <c r="G72" s="24" t="s">
        <v>194</v>
      </c>
      <c r="H72" s="24" t="s">
        <v>192</v>
      </c>
      <c r="I72" s="24"/>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row>
    <row r="73" spans="1:49" ht="18" customHeight="1" x14ac:dyDescent="0.3">
      <c r="A73" s="1"/>
      <c r="B73" s="21">
        <v>2011</v>
      </c>
      <c r="C73" s="7" t="s">
        <v>599</v>
      </c>
      <c r="D73" s="7">
        <v>1082.29</v>
      </c>
      <c r="E73" s="120" t="s">
        <v>313</v>
      </c>
      <c r="F73" s="120" t="s">
        <v>660</v>
      </c>
      <c r="G73" s="24" t="s">
        <v>194</v>
      </c>
      <c r="H73" s="24" t="s">
        <v>615</v>
      </c>
      <c r="I73" s="24"/>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row>
    <row r="74" spans="1:49" ht="18" customHeight="1" x14ac:dyDescent="0.3">
      <c r="A74" s="1"/>
      <c r="B74" s="21">
        <v>1978</v>
      </c>
      <c r="C74" s="7" t="s">
        <v>601</v>
      </c>
      <c r="D74" s="7">
        <v>3811.91</v>
      </c>
      <c r="E74" s="120" t="s">
        <v>198</v>
      </c>
      <c r="F74" s="120" t="s">
        <v>661</v>
      </c>
      <c r="G74" s="24" t="s">
        <v>199</v>
      </c>
      <c r="H74" s="24" t="s">
        <v>662</v>
      </c>
      <c r="I74" s="24"/>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row>
    <row r="75" spans="1:49" ht="18" customHeight="1" x14ac:dyDescent="0.3">
      <c r="A75" s="1"/>
      <c r="B75" s="21">
        <v>2007</v>
      </c>
      <c r="C75" s="7" t="s">
        <v>599</v>
      </c>
      <c r="D75" s="7">
        <v>1794.8</v>
      </c>
      <c r="E75" s="120" t="s">
        <v>663</v>
      </c>
      <c r="F75" s="120" t="s">
        <v>664</v>
      </c>
      <c r="G75" s="24" t="s">
        <v>276</v>
      </c>
      <c r="H75" s="24" t="s">
        <v>625</v>
      </c>
      <c r="I75" s="24"/>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row>
    <row r="76" spans="1:49" ht="18" customHeight="1" x14ac:dyDescent="0.3">
      <c r="A76" s="1"/>
      <c r="B76" s="21">
        <v>2021</v>
      </c>
      <c r="C76" s="7" t="s">
        <v>599</v>
      </c>
      <c r="D76" s="7">
        <v>1408.62</v>
      </c>
      <c r="E76" s="120" t="s">
        <v>443</v>
      </c>
      <c r="F76" s="120" t="s">
        <v>665</v>
      </c>
      <c r="G76" s="24" t="s">
        <v>220</v>
      </c>
      <c r="H76" s="24" t="s">
        <v>666</v>
      </c>
      <c r="I76" s="24"/>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row>
    <row r="77" spans="1:49" ht="18" customHeight="1" x14ac:dyDescent="0.3">
      <c r="A77" s="1"/>
      <c r="B77" s="21">
        <v>1998</v>
      </c>
      <c r="C77" s="7" t="s">
        <v>599</v>
      </c>
      <c r="D77" s="7">
        <v>2014.52</v>
      </c>
      <c r="E77" s="120" t="s">
        <v>242</v>
      </c>
      <c r="F77" s="120" t="s">
        <v>297</v>
      </c>
      <c r="G77" s="24" t="s">
        <v>199</v>
      </c>
      <c r="H77" s="24" t="s">
        <v>662</v>
      </c>
      <c r="I77" s="24"/>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row>
    <row r="78" spans="1:49" ht="18" customHeight="1" x14ac:dyDescent="0.3">
      <c r="A78" s="1"/>
      <c r="B78" s="21">
        <v>2012</v>
      </c>
      <c r="C78" s="7" t="s">
        <v>599</v>
      </c>
      <c r="D78" s="7">
        <v>1381.45</v>
      </c>
      <c r="E78" s="120" t="s">
        <v>198</v>
      </c>
      <c r="F78" s="120" t="s">
        <v>361</v>
      </c>
      <c r="G78" s="24" t="s">
        <v>199</v>
      </c>
      <c r="H78" s="24" t="s">
        <v>662</v>
      </c>
      <c r="I78" s="24"/>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row>
    <row r="79" spans="1:49" ht="18" customHeight="1" x14ac:dyDescent="0.3">
      <c r="A79" s="1"/>
      <c r="B79" s="21">
        <v>1993</v>
      </c>
      <c r="C79" s="7" t="s">
        <v>599</v>
      </c>
      <c r="D79" s="7">
        <v>2046.77</v>
      </c>
      <c r="E79" s="120" t="s">
        <v>198</v>
      </c>
      <c r="F79" s="120" t="s">
        <v>232</v>
      </c>
      <c r="G79" s="24" t="s">
        <v>199</v>
      </c>
      <c r="H79" s="24" t="s">
        <v>662</v>
      </c>
      <c r="I79" s="24"/>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row>
    <row r="80" spans="1:49" ht="18" customHeight="1" x14ac:dyDescent="0.3">
      <c r="A80" s="1"/>
      <c r="B80" s="21">
        <v>2008</v>
      </c>
      <c r="C80" s="7" t="s">
        <v>599</v>
      </c>
      <c r="D80" s="7">
        <v>1604.3899999999999</v>
      </c>
      <c r="E80" s="120" t="s">
        <v>667</v>
      </c>
      <c r="F80" s="120" t="s">
        <v>668</v>
      </c>
      <c r="G80" s="24" t="s">
        <v>201</v>
      </c>
      <c r="H80" s="24" t="s">
        <v>669</v>
      </c>
      <c r="I80" s="24"/>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row>
    <row r="81" spans="1:49" ht="18" customHeight="1" x14ac:dyDescent="0.3">
      <c r="A81" s="1"/>
      <c r="B81" s="21">
        <v>2005</v>
      </c>
      <c r="C81" s="7" t="s">
        <v>599</v>
      </c>
      <c r="D81" s="7">
        <v>1531.36</v>
      </c>
      <c r="E81" s="120" t="s">
        <v>670</v>
      </c>
      <c r="F81" s="120" t="s">
        <v>671</v>
      </c>
      <c r="G81" s="24" t="s">
        <v>100</v>
      </c>
      <c r="H81" s="24" t="s">
        <v>672</v>
      </c>
      <c r="I81" s="24"/>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row>
    <row r="82" spans="1:49" ht="18" customHeight="1" x14ac:dyDescent="0.3">
      <c r="A82" s="1"/>
      <c r="B82" s="21">
        <v>2010</v>
      </c>
      <c r="C82" s="7" t="s">
        <v>599</v>
      </c>
      <c r="D82" s="7">
        <v>1568.51</v>
      </c>
      <c r="E82" s="120" t="s">
        <v>343</v>
      </c>
      <c r="F82" s="120" t="s">
        <v>344</v>
      </c>
      <c r="G82" s="24" t="s">
        <v>199</v>
      </c>
      <c r="H82" s="24" t="s">
        <v>662</v>
      </c>
      <c r="I82" s="24"/>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row>
    <row r="83" spans="1:49" ht="18" customHeight="1" x14ac:dyDescent="0.3">
      <c r="A83" s="1"/>
      <c r="B83" s="21">
        <v>1983</v>
      </c>
      <c r="C83" s="7" t="s">
        <v>599</v>
      </c>
      <c r="D83" s="7">
        <v>2679.23</v>
      </c>
      <c r="E83" s="120" t="s">
        <v>198</v>
      </c>
      <c r="F83" s="120" t="s">
        <v>673</v>
      </c>
      <c r="G83" s="24" t="s">
        <v>199</v>
      </c>
      <c r="H83" s="24" t="s">
        <v>662</v>
      </c>
      <c r="I83" s="24"/>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row>
    <row r="84" spans="1:49" ht="18" customHeight="1" x14ac:dyDescent="0.3">
      <c r="A84" s="1"/>
      <c r="B84" s="21">
        <v>2007</v>
      </c>
      <c r="C84" s="7" t="s">
        <v>601</v>
      </c>
      <c r="D84" s="7">
        <v>1846.3400000000001</v>
      </c>
      <c r="E84" s="120" t="s">
        <v>269</v>
      </c>
      <c r="F84" s="120" t="s">
        <v>674</v>
      </c>
      <c r="G84" s="24" t="s">
        <v>201</v>
      </c>
      <c r="H84" s="24" t="s">
        <v>669</v>
      </c>
      <c r="I84" s="24"/>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row>
    <row r="85" spans="1:49" ht="18" customHeight="1" x14ac:dyDescent="0.3">
      <c r="A85" s="1"/>
      <c r="B85" s="21">
        <v>2021</v>
      </c>
      <c r="C85" s="7" t="s">
        <v>599</v>
      </c>
      <c r="D85" s="7">
        <v>1515.4059999999999</v>
      </c>
      <c r="E85" s="120" t="s">
        <v>442</v>
      </c>
      <c r="F85" s="120" t="s">
        <v>675</v>
      </c>
      <c r="G85" s="24" t="s">
        <v>197</v>
      </c>
      <c r="H85" s="24" t="s">
        <v>676</v>
      </c>
      <c r="I85" s="24"/>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row>
    <row r="86" spans="1:49" ht="18" customHeight="1" x14ac:dyDescent="0.3">
      <c r="A86" s="1"/>
      <c r="B86" s="21">
        <v>2011</v>
      </c>
      <c r="C86" s="7" t="s">
        <v>599</v>
      </c>
      <c r="D86" s="7">
        <v>2035.83</v>
      </c>
      <c r="E86" s="120" t="s">
        <v>245</v>
      </c>
      <c r="F86" s="120" t="s">
        <v>677</v>
      </c>
      <c r="G86" s="24" t="s">
        <v>246</v>
      </c>
      <c r="H86" s="24" t="s">
        <v>359</v>
      </c>
      <c r="I86" s="24"/>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row>
    <row r="87" spans="1:49" ht="18" customHeight="1" x14ac:dyDescent="0.3">
      <c r="A87" s="1"/>
      <c r="B87" s="21">
        <v>2012</v>
      </c>
      <c r="C87" s="7" t="s">
        <v>599</v>
      </c>
      <c r="D87" s="7">
        <v>1161.76</v>
      </c>
      <c r="E87" s="120" t="s">
        <v>372</v>
      </c>
      <c r="F87" s="120" t="s">
        <v>373</v>
      </c>
      <c r="G87" s="24" t="s">
        <v>194</v>
      </c>
      <c r="H87" s="24" t="s">
        <v>615</v>
      </c>
      <c r="I87" s="24"/>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row>
    <row r="88" spans="1:49" ht="18" customHeight="1" x14ac:dyDescent="0.3">
      <c r="A88" s="1"/>
      <c r="B88" s="21">
        <v>1997</v>
      </c>
      <c r="C88" s="7" t="s">
        <v>599</v>
      </c>
      <c r="D88" s="7">
        <v>2418.38</v>
      </c>
      <c r="E88" s="120" t="s">
        <v>192</v>
      </c>
      <c r="F88" s="120" t="s">
        <v>678</v>
      </c>
      <c r="G88" s="24" t="s">
        <v>194</v>
      </c>
      <c r="H88" s="24" t="s">
        <v>192</v>
      </c>
      <c r="I88" s="24"/>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row>
    <row r="89" spans="1:49" ht="18" customHeight="1" x14ac:dyDescent="0.3">
      <c r="A89" s="1"/>
      <c r="B89" s="21">
        <v>2021</v>
      </c>
      <c r="C89" s="7" t="s">
        <v>599</v>
      </c>
      <c r="D89" s="7">
        <v>1446.11</v>
      </c>
      <c r="E89" s="120" t="s">
        <v>267</v>
      </c>
      <c r="F89" s="120" t="s">
        <v>679</v>
      </c>
      <c r="G89" s="24" t="s">
        <v>194</v>
      </c>
      <c r="H89" s="24" t="s">
        <v>267</v>
      </c>
      <c r="I89" s="24"/>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row>
    <row r="90" spans="1:49" ht="18" customHeight="1" x14ac:dyDescent="0.3">
      <c r="A90" s="1"/>
      <c r="B90" s="21">
        <v>2007</v>
      </c>
      <c r="C90" s="7" t="s">
        <v>599</v>
      </c>
      <c r="D90" s="7">
        <v>1557.67</v>
      </c>
      <c r="E90" s="120" t="s">
        <v>234</v>
      </c>
      <c r="F90" s="120" t="s">
        <v>307</v>
      </c>
      <c r="G90" s="24" t="s">
        <v>235</v>
      </c>
      <c r="H90" s="24" t="s">
        <v>680</v>
      </c>
      <c r="I90" s="24"/>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row>
    <row r="91" spans="1:49" ht="18" customHeight="1" x14ac:dyDescent="0.3">
      <c r="A91" s="1"/>
      <c r="B91" s="21">
        <v>2021</v>
      </c>
      <c r="C91" s="7" t="s">
        <v>599</v>
      </c>
      <c r="D91" s="7">
        <v>1670.72</v>
      </c>
      <c r="E91" s="120" t="s">
        <v>439</v>
      </c>
      <c r="F91" s="120" t="s">
        <v>440</v>
      </c>
      <c r="G91" s="24" t="s">
        <v>312</v>
      </c>
      <c r="H91" s="24" t="s">
        <v>636</v>
      </c>
      <c r="I91" s="24"/>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row>
    <row r="92" spans="1:49" ht="18" customHeight="1" x14ac:dyDescent="0.3">
      <c r="A92" s="1"/>
      <c r="B92" s="21">
        <v>2005</v>
      </c>
      <c r="C92" s="7" t="s">
        <v>601</v>
      </c>
      <c r="D92" s="7">
        <v>2489.59</v>
      </c>
      <c r="E92" s="120" t="s">
        <v>289</v>
      </c>
      <c r="F92" s="120" t="s">
        <v>681</v>
      </c>
      <c r="G92" s="24" t="s">
        <v>290</v>
      </c>
      <c r="H92" s="24" t="s">
        <v>682</v>
      </c>
      <c r="I92" s="24"/>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row>
    <row r="93" spans="1:49" ht="18" customHeight="1" x14ac:dyDescent="0.3">
      <c r="A93" s="1"/>
      <c r="B93" s="21">
        <v>1997</v>
      </c>
      <c r="C93" s="7" t="s">
        <v>599</v>
      </c>
      <c r="D93" s="7">
        <v>1700.53</v>
      </c>
      <c r="E93" s="120" t="s">
        <v>602</v>
      </c>
      <c r="F93" s="120" t="s">
        <v>240</v>
      </c>
      <c r="G93" s="24" t="s">
        <v>194</v>
      </c>
      <c r="H93" s="24" t="s">
        <v>600</v>
      </c>
      <c r="I93" s="24"/>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row>
    <row r="94" spans="1:49" ht="18" customHeight="1" x14ac:dyDescent="0.3">
      <c r="A94" s="1"/>
      <c r="B94" s="21">
        <v>2007</v>
      </c>
      <c r="C94" s="7" t="s">
        <v>599</v>
      </c>
      <c r="D94" s="7">
        <v>1254.42</v>
      </c>
      <c r="E94" s="120" t="s">
        <v>308</v>
      </c>
      <c r="F94" s="120" t="s">
        <v>683</v>
      </c>
      <c r="G94" s="24" t="s">
        <v>194</v>
      </c>
      <c r="H94" s="24" t="s">
        <v>610</v>
      </c>
      <c r="I94" s="24"/>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row>
    <row r="95" spans="1:49" ht="18" customHeight="1" x14ac:dyDescent="0.3">
      <c r="A95" s="1"/>
      <c r="B95" s="21">
        <v>2009</v>
      </c>
      <c r="C95" s="7" t="s">
        <v>599</v>
      </c>
      <c r="D95" s="7">
        <v>1150.05</v>
      </c>
      <c r="E95" s="120" t="s">
        <v>247</v>
      </c>
      <c r="F95" s="120" t="s">
        <v>684</v>
      </c>
      <c r="G95" s="24" t="s">
        <v>194</v>
      </c>
      <c r="H95" s="24" t="s">
        <v>610</v>
      </c>
      <c r="I95" s="24"/>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row>
    <row r="96" spans="1:49" ht="18" customHeight="1" x14ac:dyDescent="0.3">
      <c r="A96" s="1"/>
      <c r="B96" s="21">
        <v>2013</v>
      </c>
      <c r="C96" s="7" t="s">
        <v>599</v>
      </c>
      <c r="D96" s="7">
        <v>1011.79</v>
      </c>
      <c r="E96" s="120" t="s">
        <v>286</v>
      </c>
      <c r="F96" s="120" t="s">
        <v>685</v>
      </c>
      <c r="G96" s="24" t="s">
        <v>194</v>
      </c>
      <c r="H96" s="24" t="s">
        <v>615</v>
      </c>
      <c r="I96" s="24"/>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row>
    <row r="97" spans="1:49" ht="18" customHeight="1" x14ac:dyDescent="0.3">
      <c r="A97" s="1"/>
      <c r="B97" s="21">
        <v>1997</v>
      </c>
      <c r="C97" s="7" t="s">
        <v>601</v>
      </c>
      <c r="D97" s="7">
        <v>1632.99</v>
      </c>
      <c r="E97" s="120" t="s">
        <v>241</v>
      </c>
      <c r="F97" s="120" t="s">
        <v>686</v>
      </c>
      <c r="G97" s="24" t="s">
        <v>199</v>
      </c>
      <c r="H97" s="24" t="s">
        <v>662</v>
      </c>
      <c r="I97" s="24"/>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row>
    <row r="98" spans="1:49" ht="18" customHeight="1" x14ac:dyDescent="0.3">
      <c r="A98" s="1"/>
      <c r="B98" s="21">
        <v>2008</v>
      </c>
      <c r="C98" s="7" t="s">
        <v>599</v>
      </c>
      <c r="D98" s="7">
        <v>1164.43</v>
      </c>
      <c r="E98" s="120" t="s">
        <v>317</v>
      </c>
      <c r="F98" s="120" t="s">
        <v>687</v>
      </c>
      <c r="G98" s="24" t="s">
        <v>194</v>
      </c>
      <c r="H98" s="24" t="s">
        <v>615</v>
      </c>
      <c r="I98" s="24"/>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row>
    <row r="99" spans="1:49" ht="18" customHeight="1" x14ac:dyDescent="0.3">
      <c r="A99" s="1"/>
      <c r="B99" s="21">
        <v>2020</v>
      </c>
      <c r="C99" s="7" t="s">
        <v>599</v>
      </c>
      <c r="D99" s="7">
        <v>1682.64</v>
      </c>
      <c r="E99" s="120" t="s">
        <v>431</v>
      </c>
      <c r="F99" s="120" t="s">
        <v>432</v>
      </c>
      <c r="G99" s="24" t="s">
        <v>199</v>
      </c>
      <c r="H99" s="24" t="s">
        <v>688</v>
      </c>
      <c r="I99" s="24"/>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row>
    <row r="100" spans="1:49" ht="18" customHeight="1" x14ac:dyDescent="0.3">
      <c r="A100" s="1"/>
      <c r="B100" s="21">
        <v>2003</v>
      </c>
      <c r="C100" s="7" t="s">
        <v>601</v>
      </c>
      <c r="D100" s="7">
        <v>2285.9700000000003</v>
      </c>
      <c r="E100" s="120" t="s">
        <v>247</v>
      </c>
      <c r="F100" s="120" t="s">
        <v>689</v>
      </c>
      <c r="G100" s="24" t="s">
        <v>194</v>
      </c>
      <c r="H100" s="24" t="s">
        <v>610</v>
      </c>
      <c r="I100" s="24"/>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row>
    <row r="101" spans="1:49" ht="18" customHeight="1" x14ac:dyDescent="0.3">
      <c r="A101" s="1"/>
      <c r="B101" s="21">
        <v>2015</v>
      </c>
      <c r="C101" s="7" t="s">
        <v>599</v>
      </c>
      <c r="D101" s="7">
        <v>1049.1600000000001</v>
      </c>
      <c r="E101" s="120" t="s">
        <v>247</v>
      </c>
      <c r="F101" s="120" t="s">
        <v>690</v>
      </c>
      <c r="G101" s="24" t="s">
        <v>194</v>
      </c>
      <c r="H101" s="24" t="s">
        <v>610</v>
      </c>
      <c r="I101" s="24"/>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row>
    <row r="102" spans="1:49" ht="18" customHeight="1" x14ac:dyDescent="0.3">
      <c r="A102" s="1"/>
      <c r="B102" s="21">
        <v>2007</v>
      </c>
      <c r="C102" s="7" t="s">
        <v>599</v>
      </c>
      <c r="D102" s="7">
        <v>1670.82</v>
      </c>
      <c r="E102" s="120" t="s">
        <v>192</v>
      </c>
      <c r="F102" s="120" t="s">
        <v>310</v>
      </c>
      <c r="G102" s="24" t="s">
        <v>194</v>
      </c>
      <c r="H102" s="24" t="s">
        <v>192</v>
      </c>
      <c r="I102" s="24"/>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row>
    <row r="103" spans="1:49" ht="18" customHeight="1" x14ac:dyDescent="0.3">
      <c r="A103" s="1"/>
      <c r="B103" s="21">
        <v>2007</v>
      </c>
      <c r="C103" s="7" t="s">
        <v>599</v>
      </c>
      <c r="D103" s="7">
        <v>1077.76</v>
      </c>
      <c r="E103" s="120" t="s">
        <v>691</v>
      </c>
      <c r="F103" s="120" t="s">
        <v>692</v>
      </c>
      <c r="G103" s="24" t="s">
        <v>194</v>
      </c>
      <c r="H103" s="24" t="s">
        <v>615</v>
      </c>
      <c r="I103" s="24"/>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row>
    <row r="104" spans="1:49" ht="18" customHeight="1" x14ac:dyDescent="0.3">
      <c r="A104" s="1"/>
      <c r="B104" s="21">
        <v>2003</v>
      </c>
      <c r="C104" s="7" t="s">
        <v>601</v>
      </c>
      <c r="D104" s="7">
        <v>1908.8400000000001</v>
      </c>
      <c r="E104" s="120" t="s">
        <v>267</v>
      </c>
      <c r="F104" s="120" t="s">
        <v>693</v>
      </c>
      <c r="G104" s="24" t="s">
        <v>194</v>
      </c>
      <c r="H104" s="24" t="s">
        <v>610</v>
      </c>
      <c r="I104" s="24"/>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row>
    <row r="105" spans="1:49" ht="18" customHeight="1" x14ac:dyDescent="0.3">
      <c r="A105" s="1"/>
      <c r="B105" s="21">
        <v>2012</v>
      </c>
      <c r="C105" s="7" t="s">
        <v>599</v>
      </c>
      <c r="D105" s="7">
        <v>1135.57</v>
      </c>
      <c r="E105" s="120" t="s">
        <v>287</v>
      </c>
      <c r="F105" s="120" t="s">
        <v>378</v>
      </c>
      <c r="G105" s="24" t="s">
        <v>197</v>
      </c>
      <c r="H105" s="24" t="s">
        <v>694</v>
      </c>
      <c r="I105" s="24"/>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row>
    <row r="106" spans="1:49" ht="18" customHeight="1" x14ac:dyDescent="0.3">
      <c r="A106" s="1"/>
      <c r="B106" s="21">
        <v>2020</v>
      </c>
      <c r="C106" s="7" t="s">
        <v>599</v>
      </c>
      <c r="D106" s="7">
        <v>1725.68</v>
      </c>
      <c r="E106" s="120" t="s">
        <v>695</v>
      </c>
      <c r="F106" s="120" t="s">
        <v>696</v>
      </c>
      <c r="G106" s="24" t="s">
        <v>194</v>
      </c>
      <c r="H106" s="24" t="s">
        <v>697</v>
      </c>
      <c r="I106" s="24"/>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row>
    <row r="107" spans="1:49" ht="18" customHeight="1" x14ac:dyDescent="0.3">
      <c r="A107" s="1"/>
      <c r="B107" s="21">
        <v>2008</v>
      </c>
      <c r="C107" s="7" t="s">
        <v>599</v>
      </c>
      <c r="D107" s="7">
        <v>1943.4099999999999</v>
      </c>
      <c r="E107" s="120" t="s">
        <v>196</v>
      </c>
      <c r="F107" s="120" t="s">
        <v>318</v>
      </c>
      <c r="G107" s="24" t="s">
        <v>197</v>
      </c>
      <c r="H107" s="24" t="s">
        <v>694</v>
      </c>
      <c r="I107" s="24"/>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row>
    <row r="108" spans="1:49" ht="18" customHeight="1" x14ac:dyDescent="0.3">
      <c r="A108" s="1"/>
      <c r="B108" s="21">
        <v>2019</v>
      </c>
      <c r="C108" s="7" t="s">
        <v>599</v>
      </c>
      <c r="D108" s="7">
        <v>1727.54</v>
      </c>
      <c r="E108" s="120" t="s">
        <v>427</v>
      </c>
      <c r="F108" s="120" t="s">
        <v>698</v>
      </c>
      <c r="G108" s="24" t="s">
        <v>201</v>
      </c>
      <c r="H108" s="24" t="s">
        <v>200</v>
      </c>
      <c r="I108" s="24"/>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row>
    <row r="109" spans="1:49" ht="18" customHeight="1" x14ac:dyDescent="0.3">
      <c r="A109" s="1"/>
      <c r="B109" s="21">
        <v>2005</v>
      </c>
      <c r="C109" s="7" t="s">
        <v>599</v>
      </c>
      <c r="D109" s="7">
        <v>1216.9000000000001</v>
      </c>
      <c r="E109" s="120" t="s">
        <v>287</v>
      </c>
      <c r="F109" s="120" t="s">
        <v>699</v>
      </c>
      <c r="G109" s="24" t="s">
        <v>197</v>
      </c>
      <c r="H109" s="24" t="s">
        <v>694</v>
      </c>
      <c r="I109" s="24"/>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row>
    <row r="110" spans="1:49" ht="18" customHeight="1" x14ac:dyDescent="0.3">
      <c r="A110" s="1"/>
      <c r="B110" s="21">
        <v>2019</v>
      </c>
      <c r="C110" s="7" t="s">
        <v>599</v>
      </c>
      <c r="D110" s="7">
        <v>1740.39</v>
      </c>
      <c r="E110" s="120" t="s">
        <v>426</v>
      </c>
      <c r="F110" s="120" t="s">
        <v>700</v>
      </c>
      <c r="G110" s="24" t="s">
        <v>276</v>
      </c>
      <c r="H110" s="24" t="s">
        <v>625</v>
      </c>
      <c r="I110" s="24"/>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row>
    <row r="111" spans="1:49" ht="18" customHeight="1" x14ac:dyDescent="0.3">
      <c r="A111" s="1"/>
      <c r="B111" s="21">
        <v>1995</v>
      </c>
      <c r="C111" s="7" t="s">
        <v>599</v>
      </c>
      <c r="D111" s="7">
        <v>2871.8</v>
      </c>
      <c r="E111" s="120" t="s">
        <v>234</v>
      </c>
      <c r="F111" s="120" t="s">
        <v>237</v>
      </c>
      <c r="G111" s="24" t="s">
        <v>235</v>
      </c>
      <c r="H111" s="24" t="s">
        <v>680</v>
      </c>
      <c r="I111" s="24"/>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row>
    <row r="112" spans="1:49" ht="18" customHeight="1" x14ac:dyDescent="0.3">
      <c r="A112" s="1"/>
      <c r="B112" s="21">
        <v>2007</v>
      </c>
      <c r="C112" s="7" t="s">
        <v>599</v>
      </c>
      <c r="D112" s="7">
        <v>1045.76</v>
      </c>
      <c r="E112" s="120" t="s">
        <v>315</v>
      </c>
      <c r="F112" s="120" t="s">
        <v>316</v>
      </c>
      <c r="G112" s="24" t="s">
        <v>194</v>
      </c>
      <c r="H112" s="24" t="s">
        <v>615</v>
      </c>
      <c r="I112" s="24"/>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row>
    <row r="113" spans="1:49" ht="18" customHeight="1" x14ac:dyDescent="0.3">
      <c r="A113" s="1"/>
      <c r="B113" s="21">
        <v>2006</v>
      </c>
      <c r="C113" s="7" t="s">
        <v>599</v>
      </c>
      <c r="D113" s="7">
        <v>1939.42</v>
      </c>
      <c r="E113" s="120" t="s">
        <v>192</v>
      </c>
      <c r="F113" s="120" t="s">
        <v>292</v>
      </c>
      <c r="G113" s="24" t="s">
        <v>194</v>
      </c>
      <c r="H113" s="24" t="s">
        <v>192</v>
      </c>
      <c r="I113" s="24"/>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row>
    <row r="114" spans="1:49" ht="18" customHeight="1" x14ac:dyDescent="0.3">
      <c r="A114" s="1"/>
      <c r="B114" s="21">
        <v>2007</v>
      </c>
      <c r="C114" s="7" t="s">
        <v>601</v>
      </c>
      <c r="D114" s="7">
        <v>1792.97</v>
      </c>
      <c r="E114" s="120" t="s">
        <v>200</v>
      </c>
      <c r="F114" s="120" t="s">
        <v>701</v>
      </c>
      <c r="G114" s="24" t="s">
        <v>201</v>
      </c>
      <c r="H114" s="24" t="s">
        <v>200</v>
      </c>
      <c r="I114" s="24"/>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row>
    <row r="115" spans="1:49" ht="18" customHeight="1" x14ac:dyDescent="0.3">
      <c r="A115" s="1"/>
      <c r="B115" s="21">
        <v>2005</v>
      </c>
      <c r="C115" s="7" t="s">
        <v>599</v>
      </c>
      <c r="D115" s="7">
        <v>1094.3900000000001</v>
      </c>
      <c r="E115" s="120" t="s">
        <v>280</v>
      </c>
      <c r="F115" s="120" t="s">
        <v>281</v>
      </c>
      <c r="G115" s="24" t="s">
        <v>194</v>
      </c>
      <c r="H115" s="24" t="s">
        <v>615</v>
      </c>
      <c r="I115" s="24"/>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row>
    <row r="116" spans="1:49" ht="18" customHeight="1" x14ac:dyDescent="0.3">
      <c r="A116" s="1"/>
      <c r="B116" s="21">
        <v>2012</v>
      </c>
      <c r="C116" s="7" t="s">
        <v>599</v>
      </c>
      <c r="D116" s="7">
        <v>1110.8399999999999</v>
      </c>
      <c r="E116" s="120" t="s">
        <v>376</v>
      </c>
      <c r="F116" s="120" t="s">
        <v>377</v>
      </c>
      <c r="G116" s="24" t="s">
        <v>194</v>
      </c>
      <c r="H116" s="24" t="s">
        <v>615</v>
      </c>
      <c r="I116" s="24"/>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row>
    <row r="117" spans="1:49" ht="18" customHeight="1" x14ac:dyDescent="0.3">
      <c r="A117" s="1"/>
      <c r="B117" s="21">
        <v>1977</v>
      </c>
      <c r="C117" s="7" t="s">
        <v>601</v>
      </c>
      <c r="D117" s="7">
        <v>3796.2799999999997</v>
      </c>
      <c r="E117" s="120" t="s">
        <v>196</v>
      </c>
      <c r="F117" s="120" t="s">
        <v>702</v>
      </c>
      <c r="G117" s="24" t="s">
        <v>197</v>
      </c>
      <c r="H117" s="24" t="s">
        <v>694</v>
      </c>
      <c r="I117" s="24"/>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row>
    <row r="118" spans="1:49" ht="18" customHeight="1" x14ac:dyDescent="0.3">
      <c r="A118" s="1"/>
      <c r="B118" s="21">
        <v>2000</v>
      </c>
      <c r="C118" s="7" t="s">
        <v>599</v>
      </c>
      <c r="D118" s="7">
        <v>1455.04</v>
      </c>
      <c r="E118" s="120" t="s">
        <v>196</v>
      </c>
      <c r="F118" s="120" t="s">
        <v>703</v>
      </c>
      <c r="G118" s="24" t="s">
        <v>197</v>
      </c>
      <c r="H118" s="24" t="s">
        <v>694</v>
      </c>
      <c r="I118" s="24"/>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row>
    <row r="119" spans="1:49" ht="18" customHeight="1" x14ac:dyDescent="0.3">
      <c r="A119" s="1"/>
      <c r="B119" s="21">
        <v>2011</v>
      </c>
      <c r="C119" s="7" t="s">
        <v>599</v>
      </c>
      <c r="D119" s="7">
        <v>2959.2699999999995</v>
      </c>
      <c r="E119" s="120" t="s">
        <v>704</v>
      </c>
      <c r="F119" s="120" t="s">
        <v>360</v>
      </c>
      <c r="G119" s="24" t="s">
        <v>249</v>
      </c>
      <c r="H119" s="24" t="s">
        <v>705</v>
      </c>
      <c r="I119" s="24"/>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row>
    <row r="120" spans="1:49" ht="18" customHeight="1" x14ac:dyDescent="0.3">
      <c r="A120" s="1"/>
      <c r="B120" s="21">
        <v>1996</v>
      </c>
      <c r="C120" s="7" t="s">
        <v>599</v>
      </c>
      <c r="D120" s="7">
        <v>2202.36</v>
      </c>
      <c r="E120" s="120" t="s">
        <v>196</v>
      </c>
      <c r="F120" s="120" t="s">
        <v>238</v>
      </c>
      <c r="G120" s="24" t="s">
        <v>197</v>
      </c>
      <c r="H120" s="24" t="s">
        <v>694</v>
      </c>
      <c r="I120" s="24"/>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row>
    <row r="121" spans="1:49" ht="18" customHeight="1" x14ac:dyDescent="0.3">
      <c r="A121" s="1"/>
      <c r="B121" s="21">
        <v>2007</v>
      </c>
      <c r="C121" s="7" t="s">
        <v>599</v>
      </c>
      <c r="D121" s="7">
        <v>1698.81</v>
      </c>
      <c r="E121" s="120" t="s">
        <v>218</v>
      </c>
      <c r="F121" s="120" t="s">
        <v>309</v>
      </c>
      <c r="G121" s="24" t="s">
        <v>220</v>
      </c>
      <c r="H121" s="24" t="s">
        <v>666</v>
      </c>
      <c r="I121" s="24"/>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row>
    <row r="122" spans="1:49" ht="18" customHeight="1" x14ac:dyDescent="0.3">
      <c r="A122" s="1"/>
      <c r="B122" s="21">
        <v>2003</v>
      </c>
      <c r="C122" s="7" t="s">
        <v>599</v>
      </c>
      <c r="D122" s="7">
        <v>2436.66</v>
      </c>
      <c r="E122" s="120" t="s">
        <v>196</v>
      </c>
      <c r="F122" s="120" t="s">
        <v>706</v>
      </c>
      <c r="G122" s="24" t="s">
        <v>197</v>
      </c>
      <c r="H122" s="24" t="s">
        <v>694</v>
      </c>
      <c r="I122" s="24"/>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row>
    <row r="123" spans="1:49" ht="18" customHeight="1" x14ac:dyDescent="0.3">
      <c r="A123" s="1"/>
      <c r="B123" s="21">
        <v>2021</v>
      </c>
      <c r="C123" s="7" t="s">
        <v>599</v>
      </c>
      <c r="D123" s="7">
        <v>1701.8</v>
      </c>
      <c r="E123" s="120" t="s">
        <v>259</v>
      </c>
      <c r="F123" s="120" t="s">
        <v>707</v>
      </c>
      <c r="G123" s="24" t="s">
        <v>201</v>
      </c>
      <c r="H123" s="24" t="s">
        <v>708</v>
      </c>
      <c r="I123" s="24"/>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row>
    <row r="124" spans="1:49" ht="18" customHeight="1" x14ac:dyDescent="0.3">
      <c r="A124" s="1"/>
      <c r="B124" s="21">
        <v>2012</v>
      </c>
      <c r="C124" s="7" t="s">
        <v>599</v>
      </c>
      <c r="D124" s="7">
        <v>2274.0500000000002</v>
      </c>
      <c r="E124" s="120" t="s">
        <v>368</v>
      </c>
      <c r="F124" s="120" t="s">
        <v>369</v>
      </c>
      <c r="G124" s="24" t="s">
        <v>249</v>
      </c>
      <c r="H124" s="24" t="s">
        <v>705</v>
      </c>
      <c r="I124" s="24"/>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row>
    <row r="125" spans="1:49" ht="18" customHeight="1" x14ac:dyDescent="0.3">
      <c r="A125" s="1"/>
      <c r="B125" s="21">
        <v>2020</v>
      </c>
      <c r="C125" s="7" t="s">
        <v>599</v>
      </c>
      <c r="D125" s="7">
        <v>1751.07</v>
      </c>
      <c r="E125" s="120" t="s">
        <v>670</v>
      </c>
      <c r="F125" s="120" t="s">
        <v>430</v>
      </c>
      <c r="G125" s="24" t="s">
        <v>100</v>
      </c>
      <c r="H125" s="24" t="s">
        <v>672</v>
      </c>
      <c r="I125" s="24"/>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row>
    <row r="126" spans="1:49" ht="18" customHeight="1" x14ac:dyDescent="0.3">
      <c r="A126" s="1"/>
      <c r="B126" s="21">
        <v>2003</v>
      </c>
      <c r="C126" s="7" t="s">
        <v>599</v>
      </c>
      <c r="D126" s="7">
        <v>3336.08</v>
      </c>
      <c r="E126" s="120" t="s">
        <v>709</v>
      </c>
      <c r="F126" s="120" t="s">
        <v>265</v>
      </c>
      <c r="G126" s="24" t="s">
        <v>231</v>
      </c>
      <c r="H126" s="24" t="s">
        <v>710</v>
      </c>
      <c r="I126" s="24"/>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row>
    <row r="127" spans="1:49" ht="18" customHeight="1" x14ac:dyDescent="0.3">
      <c r="A127" s="1"/>
      <c r="B127" s="21">
        <v>2009</v>
      </c>
      <c r="C127" s="7" t="s">
        <v>599</v>
      </c>
      <c r="D127" s="7">
        <v>1786.6399999999999</v>
      </c>
      <c r="E127" s="120" t="s">
        <v>709</v>
      </c>
      <c r="F127" s="120" t="s">
        <v>337</v>
      </c>
      <c r="G127" s="24" t="s">
        <v>231</v>
      </c>
      <c r="H127" s="24" t="s">
        <v>710</v>
      </c>
      <c r="I127" s="24"/>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row>
    <row r="128" spans="1:49" ht="18" customHeight="1" x14ac:dyDescent="0.3">
      <c r="A128" s="1"/>
      <c r="B128" s="21">
        <v>2013</v>
      </c>
      <c r="C128" s="7" t="s">
        <v>599</v>
      </c>
      <c r="D128" s="7">
        <v>1714.03</v>
      </c>
      <c r="E128" s="120" t="s">
        <v>711</v>
      </c>
      <c r="F128" s="120" t="s">
        <v>392</v>
      </c>
      <c r="G128" s="24" t="s">
        <v>197</v>
      </c>
      <c r="H128" s="24" t="s">
        <v>694</v>
      </c>
      <c r="I128" s="24"/>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row>
    <row r="129" spans="1:49" ht="18" customHeight="1" x14ac:dyDescent="0.3">
      <c r="A129" s="1"/>
      <c r="B129" s="21">
        <v>1993</v>
      </c>
      <c r="C129" s="7" t="s">
        <v>599</v>
      </c>
      <c r="D129" s="7">
        <v>3370.3399999999997</v>
      </c>
      <c r="E129" s="120" t="s">
        <v>709</v>
      </c>
      <c r="F129" s="120" t="s">
        <v>712</v>
      </c>
      <c r="G129" s="24" t="s">
        <v>231</v>
      </c>
      <c r="H129" s="24" t="s">
        <v>710</v>
      </c>
      <c r="I129" s="24"/>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row>
    <row r="130" spans="1:49" ht="18" customHeight="1" x14ac:dyDescent="0.3">
      <c r="A130" s="1"/>
      <c r="B130" s="21">
        <v>2021</v>
      </c>
      <c r="C130" s="7" t="s">
        <v>599</v>
      </c>
      <c r="D130" s="7">
        <v>1774.31</v>
      </c>
      <c r="E130" s="120" t="s">
        <v>262</v>
      </c>
      <c r="F130" s="120" t="s">
        <v>713</v>
      </c>
      <c r="G130" s="24" t="s">
        <v>264</v>
      </c>
      <c r="H130" s="24" t="s">
        <v>262</v>
      </c>
      <c r="I130" s="24"/>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row>
    <row r="131" spans="1:49" ht="18" customHeight="1" x14ac:dyDescent="0.3">
      <c r="A131" s="1"/>
      <c r="B131" s="21">
        <v>2008</v>
      </c>
      <c r="C131" s="7" t="s">
        <v>599</v>
      </c>
      <c r="D131" s="7">
        <v>1107.1199999999999</v>
      </c>
      <c r="E131" s="120" t="s">
        <v>320</v>
      </c>
      <c r="F131" s="120" t="s">
        <v>714</v>
      </c>
      <c r="G131" s="24" t="s">
        <v>204</v>
      </c>
      <c r="H131" s="24" t="s">
        <v>654</v>
      </c>
      <c r="I131" s="24"/>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row>
    <row r="132" spans="1:49" ht="18" customHeight="1" x14ac:dyDescent="0.3">
      <c r="A132" s="1"/>
      <c r="B132" s="21">
        <v>2015</v>
      </c>
      <c r="C132" s="7" t="s">
        <v>599</v>
      </c>
      <c r="D132" s="7">
        <v>2263.9299999999998</v>
      </c>
      <c r="E132" s="120" t="s">
        <v>715</v>
      </c>
      <c r="F132" s="120" t="s">
        <v>408</v>
      </c>
      <c r="G132" s="24" t="s">
        <v>249</v>
      </c>
      <c r="H132" s="24" t="s">
        <v>705</v>
      </c>
      <c r="I132" s="24"/>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row>
    <row r="133" spans="1:49" ht="18" customHeight="1" x14ac:dyDescent="0.3">
      <c r="A133" s="1"/>
      <c r="B133" s="21">
        <v>2011</v>
      </c>
      <c r="C133" s="7" t="s">
        <v>599</v>
      </c>
      <c r="D133" s="7">
        <v>2122.0100000000002</v>
      </c>
      <c r="E133" s="120" t="s">
        <v>716</v>
      </c>
      <c r="F133" s="120" t="s">
        <v>717</v>
      </c>
      <c r="G133" s="24" t="s">
        <v>217</v>
      </c>
      <c r="H133" s="24" t="s">
        <v>648</v>
      </c>
      <c r="I133" s="24"/>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row>
    <row r="134" spans="1:49" ht="18" customHeight="1" x14ac:dyDescent="0.3">
      <c r="A134" s="1"/>
      <c r="B134" s="21">
        <v>2014</v>
      </c>
      <c r="C134" s="7" t="s">
        <v>599</v>
      </c>
      <c r="D134" s="7">
        <v>2178.63</v>
      </c>
      <c r="E134" s="120" t="s">
        <v>704</v>
      </c>
      <c r="F134" s="120" t="s">
        <v>397</v>
      </c>
      <c r="G134" s="24" t="s">
        <v>249</v>
      </c>
      <c r="H134" s="24" t="s">
        <v>705</v>
      </c>
      <c r="I134" s="24"/>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row>
    <row r="135" spans="1:49" ht="18" customHeight="1" x14ac:dyDescent="0.3">
      <c r="A135" s="1"/>
      <c r="B135" s="21">
        <v>1989</v>
      </c>
      <c r="C135" s="7" t="s">
        <v>599</v>
      </c>
      <c r="D135" s="7">
        <v>3125.5</v>
      </c>
      <c r="E135" s="120" t="s">
        <v>718</v>
      </c>
      <c r="F135" s="120" t="s">
        <v>719</v>
      </c>
      <c r="G135" s="24" t="s">
        <v>225</v>
      </c>
      <c r="H135" s="24" t="s">
        <v>720</v>
      </c>
      <c r="I135" s="24"/>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row>
    <row r="136" spans="1:49" ht="18" customHeight="1" x14ac:dyDescent="0.3">
      <c r="A136" s="1"/>
      <c r="B136" s="21">
        <v>2020</v>
      </c>
      <c r="C136" s="7" t="s">
        <v>599</v>
      </c>
      <c r="D136" s="7">
        <v>1780.25</v>
      </c>
      <c r="E136" s="120" t="s">
        <v>721</v>
      </c>
      <c r="F136" s="120" t="s">
        <v>433</v>
      </c>
      <c r="G136" s="24" t="s">
        <v>279</v>
      </c>
      <c r="H136" s="24" t="s">
        <v>722</v>
      </c>
      <c r="I136" s="24"/>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row>
    <row r="137" spans="1:49" ht="18" customHeight="1" x14ac:dyDescent="0.3">
      <c r="A137" s="1"/>
      <c r="B137" s="21">
        <v>2004</v>
      </c>
      <c r="C137" s="7" t="s">
        <v>599</v>
      </c>
      <c r="D137" s="7">
        <v>1332.88</v>
      </c>
      <c r="E137" s="120" t="s">
        <v>200</v>
      </c>
      <c r="F137" s="120" t="s">
        <v>277</v>
      </c>
      <c r="G137" s="24" t="s">
        <v>201</v>
      </c>
      <c r="H137" s="24" t="s">
        <v>200</v>
      </c>
      <c r="I137" s="24"/>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row>
    <row r="138" spans="1:49" ht="18" customHeight="1" x14ac:dyDescent="0.3">
      <c r="A138" s="1"/>
      <c r="B138" s="21">
        <v>2015</v>
      </c>
      <c r="C138" s="7" t="s">
        <v>599</v>
      </c>
      <c r="D138" s="7">
        <v>2352.52</v>
      </c>
      <c r="E138" s="120" t="s">
        <v>289</v>
      </c>
      <c r="F138" s="120" t="s">
        <v>414</v>
      </c>
      <c r="G138" s="24" t="s">
        <v>290</v>
      </c>
      <c r="H138" s="24" t="s">
        <v>682</v>
      </c>
      <c r="I138" s="24"/>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row>
    <row r="139" spans="1:49" ht="18" customHeight="1" x14ac:dyDescent="0.3">
      <c r="A139" s="1"/>
      <c r="B139" s="21">
        <v>2015</v>
      </c>
      <c r="C139" s="7" t="s">
        <v>599</v>
      </c>
      <c r="D139" s="7">
        <v>2199.5100000000002</v>
      </c>
      <c r="E139" s="120" t="s">
        <v>709</v>
      </c>
      <c r="F139" s="120" t="s">
        <v>412</v>
      </c>
      <c r="G139" s="24" t="s">
        <v>231</v>
      </c>
      <c r="H139" s="24" t="s">
        <v>710</v>
      </c>
      <c r="I139" s="24"/>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row>
    <row r="140" spans="1:49" ht="18" customHeight="1" x14ac:dyDescent="0.3">
      <c r="A140" s="1"/>
      <c r="B140" s="21">
        <v>1985</v>
      </c>
      <c r="C140" s="7" t="s">
        <v>599</v>
      </c>
      <c r="D140" s="7">
        <v>5092.4299999999994</v>
      </c>
      <c r="E140" s="120" t="s">
        <v>215</v>
      </c>
      <c r="F140" s="120" t="s">
        <v>216</v>
      </c>
      <c r="G140" s="24" t="s">
        <v>217</v>
      </c>
      <c r="H140" s="24" t="s">
        <v>648</v>
      </c>
      <c r="I140" s="24"/>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row>
    <row r="141" spans="1:49" ht="18" customHeight="1" x14ac:dyDescent="0.3">
      <c r="A141" s="1"/>
      <c r="B141" s="21">
        <v>2008</v>
      </c>
      <c r="C141" s="7" t="s">
        <v>599</v>
      </c>
      <c r="D141" s="7">
        <v>2094</v>
      </c>
      <c r="E141" s="120" t="s">
        <v>192</v>
      </c>
      <c r="F141" s="120" t="s">
        <v>723</v>
      </c>
      <c r="G141" s="24" t="s">
        <v>194</v>
      </c>
      <c r="H141" s="24" t="s">
        <v>192</v>
      </c>
      <c r="I141" s="24"/>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row>
    <row r="142" spans="1:49" ht="18" customHeight="1" x14ac:dyDescent="0.3">
      <c r="A142" s="1"/>
      <c r="B142" s="21">
        <v>2021</v>
      </c>
      <c r="C142" s="7" t="s">
        <v>599</v>
      </c>
      <c r="D142" s="7">
        <v>1826.53</v>
      </c>
      <c r="E142" s="120" t="s">
        <v>628</v>
      </c>
      <c r="F142" s="120" t="s">
        <v>724</v>
      </c>
      <c r="G142" s="24" t="s">
        <v>194</v>
      </c>
      <c r="H142" s="24" t="s">
        <v>615</v>
      </c>
      <c r="I142" s="24"/>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row>
    <row r="143" spans="1:49" ht="18" customHeight="1" x14ac:dyDescent="0.3">
      <c r="A143" s="1"/>
      <c r="B143" s="21">
        <v>2019</v>
      </c>
      <c r="C143" s="7" t="s">
        <v>599</v>
      </c>
      <c r="D143" s="7">
        <v>1825.46</v>
      </c>
      <c r="E143" s="120" t="s">
        <v>245</v>
      </c>
      <c r="F143" s="120" t="s">
        <v>725</v>
      </c>
      <c r="G143" s="24" t="s">
        <v>246</v>
      </c>
      <c r="H143" s="24" t="s">
        <v>359</v>
      </c>
      <c r="I143" s="24"/>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row>
    <row r="144" spans="1:49" ht="18" customHeight="1" x14ac:dyDescent="0.3">
      <c r="A144" s="1"/>
      <c r="B144" s="21">
        <v>2021</v>
      </c>
      <c r="C144" s="7" t="s">
        <v>599</v>
      </c>
      <c r="D144" s="7">
        <v>1838.63</v>
      </c>
      <c r="E144" s="120" t="s">
        <v>436</v>
      </c>
      <c r="F144" s="120" t="s">
        <v>726</v>
      </c>
      <c r="G144" s="24" t="s">
        <v>197</v>
      </c>
      <c r="H144" s="24" t="s">
        <v>727</v>
      </c>
      <c r="I144" s="24"/>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row>
    <row r="145" spans="1:49" ht="18" customHeight="1" x14ac:dyDescent="0.3">
      <c r="A145" s="1"/>
      <c r="B145" s="21">
        <v>2009</v>
      </c>
      <c r="C145" s="7" t="s">
        <v>599</v>
      </c>
      <c r="D145" s="7">
        <v>2060.75</v>
      </c>
      <c r="E145" s="120" t="s">
        <v>215</v>
      </c>
      <c r="F145" s="120" t="s">
        <v>332</v>
      </c>
      <c r="G145" s="24" t="s">
        <v>217</v>
      </c>
      <c r="H145" s="24" t="s">
        <v>648</v>
      </c>
      <c r="I145" s="24"/>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row>
    <row r="146" spans="1:49" ht="18" customHeight="1" x14ac:dyDescent="0.3">
      <c r="A146" s="1"/>
      <c r="B146" s="21">
        <v>2014</v>
      </c>
      <c r="C146" s="7" t="s">
        <v>599</v>
      </c>
      <c r="D146" s="7">
        <v>2129.5100000000002</v>
      </c>
      <c r="E146" s="120" t="s">
        <v>289</v>
      </c>
      <c r="F146" s="120" t="s">
        <v>728</v>
      </c>
      <c r="G146" s="24" t="s">
        <v>290</v>
      </c>
      <c r="H146" s="24" t="s">
        <v>682</v>
      </c>
      <c r="I146" s="24"/>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row>
    <row r="147" spans="1:49" ht="18" customHeight="1" x14ac:dyDescent="0.3">
      <c r="A147" s="1"/>
      <c r="B147" s="21">
        <v>1985</v>
      </c>
      <c r="C147" s="7" t="s">
        <v>599</v>
      </c>
      <c r="D147" s="7">
        <v>4456.7700000000004</v>
      </c>
      <c r="E147" s="120" t="s">
        <v>215</v>
      </c>
      <c r="F147" s="120" t="s">
        <v>729</v>
      </c>
      <c r="G147" s="24" t="s">
        <v>217</v>
      </c>
      <c r="H147" s="24" t="s">
        <v>648</v>
      </c>
      <c r="I147" s="24"/>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row>
    <row r="148" spans="1:49" ht="18" customHeight="1" x14ac:dyDescent="0.3">
      <c r="A148" s="1"/>
      <c r="B148" s="21">
        <v>2005</v>
      </c>
      <c r="C148" s="7" t="s">
        <v>599</v>
      </c>
      <c r="D148" s="7">
        <v>1473.93</v>
      </c>
      <c r="E148" s="120" t="s">
        <v>288</v>
      </c>
      <c r="F148" s="120" t="s">
        <v>730</v>
      </c>
      <c r="G148" s="24" t="s">
        <v>220</v>
      </c>
      <c r="H148" s="24" t="s">
        <v>666</v>
      </c>
      <c r="I148" s="24"/>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row>
    <row r="149" spans="1:49" ht="18" customHeight="1" x14ac:dyDescent="0.3">
      <c r="A149" s="1"/>
      <c r="B149" s="21">
        <v>2015</v>
      </c>
      <c r="C149" s="7" t="s">
        <v>599</v>
      </c>
      <c r="D149" s="7">
        <v>2052.65</v>
      </c>
      <c r="E149" s="120" t="s">
        <v>415</v>
      </c>
      <c r="F149" s="120" t="s">
        <v>416</v>
      </c>
      <c r="G149" s="24" t="s">
        <v>220</v>
      </c>
      <c r="H149" s="24" t="s">
        <v>666</v>
      </c>
      <c r="I149" s="24"/>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row>
    <row r="150" spans="1:49" ht="18" customHeight="1" x14ac:dyDescent="0.3">
      <c r="A150" s="1"/>
      <c r="B150" s="21">
        <v>2012</v>
      </c>
      <c r="C150" s="7" t="s">
        <v>599</v>
      </c>
      <c r="D150" s="7">
        <v>2485.63</v>
      </c>
      <c r="E150" s="120" t="s">
        <v>215</v>
      </c>
      <c r="F150" s="120" t="s">
        <v>366</v>
      </c>
      <c r="G150" s="24" t="s">
        <v>217</v>
      </c>
      <c r="H150" s="24" t="s">
        <v>648</v>
      </c>
      <c r="I150" s="24"/>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row>
    <row r="151" spans="1:49" ht="18" customHeight="1" x14ac:dyDescent="0.3">
      <c r="A151" s="1"/>
      <c r="B151" s="21">
        <v>1986</v>
      </c>
      <c r="C151" s="7" t="s">
        <v>599</v>
      </c>
      <c r="D151" s="7">
        <v>3224.09</v>
      </c>
      <c r="E151" s="120" t="s">
        <v>218</v>
      </c>
      <c r="F151" s="120" t="s">
        <v>219</v>
      </c>
      <c r="G151" s="24" t="s">
        <v>220</v>
      </c>
      <c r="H151" s="24" t="s">
        <v>666</v>
      </c>
      <c r="I151" s="24"/>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row>
    <row r="152" spans="1:49" ht="18" customHeight="1" x14ac:dyDescent="0.3">
      <c r="A152" s="1"/>
      <c r="B152" s="21">
        <v>2008</v>
      </c>
      <c r="C152" s="7" t="s">
        <v>599</v>
      </c>
      <c r="D152" s="7">
        <v>1825.64</v>
      </c>
      <c r="E152" s="120" t="s">
        <v>323</v>
      </c>
      <c r="F152" s="120" t="s">
        <v>324</v>
      </c>
      <c r="G152" s="24" t="s">
        <v>220</v>
      </c>
      <c r="H152" s="24" t="s">
        <v>666</v>
      </c>
      <c r="I152" s="24"/>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row>
    <row r="153" spans="1:49" ht="18" customHeight="1" x14ac:dyDescent="0.3">
      <c r="A153" s="1"/>
      <c r="B153" s="21">
        <v>2001</v>
      </c>
      <c r="C153" s="7" t="s">
        <v>599</v>
      </c>
      <c r="D153" s="7">
        <v>2388</v>
      </c>
      <c r="E153" s="120" t="s">
        <v>218</v>
      </c>
      <c r="F153" s="120" t="s">
        <v>255</v>
      </c>
      <c r="G153" s="24" t="s">
        <v>220</v>
      </c>
      <c r="H153" s="24" t="s">
        <v>666</v>
      </c>
      <c r="I153" s="24"/>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row>
    <row r="154" spans="1:49" ht="18" customHeight="1" x14ac:dyDescent="0.3">
      <c r="A154" s="1"/>
      <c r="B154" s="21">
        <v>2020</v>
      </c>
      <c r="C154" s="7" t="s">
        <v>599</v>
      </c>
      <c r="D154" s="7">
        <v>1850.74</v>
      </c>
      <c r="E154" s="120" t="s">
        <v>704</v>
      </c>
      <c r="F154" s="120" t="s">
        <v>429</v>
      </c>
      <c r="G154" s="24" t="s">
        <v>249</v>
      </c>
      <c r="H154" s="24" t="s">
        <v>731</v>
      </c>
      <c r="I154" s="24"/>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row>
    <row r="155" spans="1:49" ht="18" customHeight="1" x14ac:dyDescent="0.3">
      <c r="A155" s="1"/>
      <c r="B155" s="21">
        <v>2012</v>
      </c>
      <c r="C155" s="7" t="s">
        <v>599</v>
      </c>
      <c r="D155" s="7">
        <v>1018.52</v>
      </c>
      <c r="E155" s="120" t="s">
        <v>218</v>
      </c>
      <c r="F155" s="120" t="s">
        <v>271</v>
      </c>
      <c r="G155" s="24" t="s">
        <v>220</v>
      </c>
      <c r="H155" s="24" t="s">
        <v>666</v>
      </c>
      <c r="I155" s="24"/>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row>
    <row r="156" spans="1:49" ht="18" customHeight="1" x14ac:dyDescent="0.3">
      <c r="A156" s="1"/>
      <c r="B156" s="21">
        <v>2018</v>
      </c>
      <c r="C156" s="7" t="s">
        <v>599</v>
      </c>
      <c r="D156" s="7">
        <v>1878.95</v>
      </c>
      <c r="E156" s="120" t="s">
        <v>218</v>
      </c>
      <c r="F156" s="120" t="s">
        <v>420</v>
      </c>
      <c r="G156" s="24" t="s">
        <v>220</v>
      </c>
      <c r="H156" s="24" t="s">
        <v>732</v>
      </c>
      <c r="I156" s="24"/>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row>
    <row r="157" spans="1:49" ht="18" customHeight="1" x14ac:dyDescent="0.3">
      <c r="A157" s="1"/>
      <c r="B157" s="21">
        <v>1987</v>
      </c>
      <c r="C157" s="7" t="s">
        <v>601</v>
      </c>
      <c r="D157" s="7">
        <v>2262.2600000000002</v>
      </c>
      <c r="E157" s="120" t="s">
        <v>218</v>
      </c>
      <c r="F157" s="120" t="s">
        <v>733</v>
      </c>
      <c r="G157" s="24" t="s">
        <v>220</v>
      </c>
      <c r="H157" s="24" t="s">
        <v>666</v>
      </c>
      <c r="I157" s="24"/>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row>
    <row r="158" spans="1:49" ht="18" customHeight="1" x14ac:dyDescent="0.3">
      <c r="A158" s="1"/>
      <c r="B158" s="21">
        <v>2019</v>
      </c>
      <c r="C158" s="7" t="s">
        <v>599</v>
      </c>
      <c r="D158" s="7">
        <v>1999.22</v>
      </c>
      <c r="E158" s="120" t="s">
        <v>421</v>
      </c>
      <c r="F158" s="120" t="s">
        <v>734</v>
      </c>
      <c r="G158" s="24" t="s">
        <v>217</v>
      </c>
      <c r="H158" s="24" t="s">
        <v>648</v>
      </c>
      <c r="I158" s="24"/>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row>
    <row r="159" spans="1:49" ht="18" customHeight="1" x14ac:dyDescent="0.3">
      <c r="A159" s="1"/>
      <c r="B159" s="21">
        <v>2014</v>
      </c>
      <c r="C159" s="7" t="s">
        <v>599</v>
      </c>
      <c r="D159" s="7">
        <v>2450.69</v>
      </c>
      <c r="E159" s="120" t="s">
        <v>234</v>
      </c>
      <c r="F159" s="120" t="s">
        <v>735</v>
      </c>
      <c r="G159" s="24" t="s">
        <v>235</v>
      </c>
      <c r="H159" s="24" t="s">
        <v>680</v>
      </c>
      <c r="I159" s="24"/>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row>
    <row r="160" spans="1:49" ht="18" customHeight="1" x14ac:dyDescent="0.3">
      <c r="A160" s="1"/>
      <c r="B160" s="21">
        <v>1987</v>
      </c>
      <c r="C160" s="7" t="s">
        <v>599</v>
      </c>
      <c r="D160" s="7">
        <v>1999.58</v>
      </c>
      <c r="E160" s="120" t="s">
        <v>215</v>
      </c>
      <c r="F160" s="120" t="s">
        <v>736</v>
      </c>
      <c r="G160" s="24" t="s">
        <v>217</v>
      </c>
      <c r="H160" s="24" t="s">
        <v>648</v>
      </c>
      <c r="I160" s="24"/>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row>
    <row r="161" spans="1:49" ht="18" customHeight="1" x14ac:dyDescent="0.3">
      <c r="A161" s="1"/>
      <c r="B161" s="21">
        <v>2009</v>
      </c>
      <c r="C161" s="7" t="s">
        <v>601</v>
      </c>
      <c r="D161" s="7">
        <v>1135.77</v>
      </c>
      <c r="E161" s="120" t="s">
        <v>737</v>
      </c>
      <c r="F161" s="120" t="s">
        <v>738</v>
      </c>
      <c r="G161" s="24" t="s">
        <v>201</v>
      </c>
      <c r="H161" s="24" t="s">
        <v>669</v>
      </c>
      <c r="I161" s="24"/>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row>
    <row r="162" spans="1:49" ht="18" customHeight="1" x14ac:dyDescent="0.3">
      <c r="A162" s="1"/>
      <c r="B162" s="21">
        <v>2000</v>
      </c>
      <c r="C162" s="7" t="s">
        <v>599</v>
      </c>
      <c r="D162" s="7">
        <v>2042.72</v>
      </c>
      <c r="E162" s="120" t="s">
        <v>250</v>
      </c>
      <c r="F162" s="120" t="s">
        <v>739</v>
      </c>
      <c r="G162" s="24" t="s">
        <v>217</v>
      </c>
      <c r="H162" s="24" t="s">
        <v>648</v>
      </c>
      <c r="I162" s="24"/>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row>
    <row r="163" spans="1:49" ht="18" customHeight="1" x14ac:dyDescent="0.3">
      <c r="A163" s="1"/>
      <c r="B163" s="21">
        <v>2011</v>
      </c>
      <c r="C163" s="7" t="s">
        <v>599</v>
      </c>
      <c r="D163" s="7">
        <v>1963.52</v>
      </c>
      <c r="E163" s="120" t="s">
        <v>348</v>
      </c>
      <c r="F163" s="120" t="s">
        <v>349</v>
      </c>
      <c r="G163" s="24" t="s">
        <v>217</v>
      </c>
      <c r="H163" s="24" t="s">
        <v>648</v>
      </c>
      <c r="I163" s="24"/>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row>
    <row r="164" spans="1:49" ht="18" customHeight="1" x14ac:dyDescent="0.3">
      <c r="A164" s="1"/>
      <c r="B164" s="21">
        <v>2013</v>
      </c>
      <c r="C164" s="7" t="s">
        <v>599</v>
      </c>
      <c r="D164" s="7">
        <v>1526.79</v>
      </c>
      <c r="E164" s="120" t="s">
        <v>234</v>
      </c>
      <c r="F164" s="120" t="s">
        <v>740</v>
      </c>
      <c r="G164" s="24" t="s">
        <v>235</v>
      </c>
      <c r="H164" s="24" t="s">
        <v>680</v>
      </c>
      <c r="I164" s="24"/>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row>
    <row r="165" spans="1:49" ht="18" customHeight="1" x14ac:dyDescent="0.3">
      <c r="A165" s="1"/>
      <c r="B165" s="21">
        <v>1979</v>
      </c>
      <c r="C165" s="7" t="s">
        <v>601</v>
      </c>
      <c r="D165" s="7">
        <v>2312.8900000000003</v>
      </c>
      <c r="E165" s="120" t="s">
        <v>200</v>
      </c>
      <c r="F165" s="120" t="s">
        <v>741</v>
      </c>
      <c r="G165" s="24" t="s">
        <v>201</v>
      </c>
      <c r="H165" s="24" t="s">
        <v>200</v>
      </c>
      <c r="I165" s="24"/>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row>
    <row r="166" spans="1:49" ht="18" customHeight="1" x14ac:dyDescent="0.3">
      <c r="A166" s="1"/>
      <c r="B166" s="21">
        <v>2008</v>
      </c>
      <c r="C166" s="7" t="s">
        <v>599</v>
      </c>
      <c r="D166" s="7">
        <v>1050.1199999999999</v>
      </c>
      <c r="E166" s="120" t="s">
        <v>319</v>
      </c>
      <c r="F166" s="120" t="s">
        <v>273</v>
      </c>
      <c r="G166" s="24" t="s">
        <v>194</v>
      </c>
      <c r="H166" s="24" t="s">
        <v>615</v>
      </c>
      <c r="I166" s="24"/>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row>
    <row r="167" spans="1:49" ht="18" customHeight="1" x14ac:dyDescent="0.3">
      <c r="A167" s="1"/>
      <c r="B167" s="21">
        <v>2006</v>
      </c>
      <c r="C167" s="7" t="s">
        <v>601</v>
      </c>
      <c r="D167" s="7">
        <v>2009.94</v>
      </c>
      <c r="E167" s="120" t="s">
        <v>704</v>
      </c>
      <c r="F167" s="120" t="s">
        <v>742</v>
      </c>
      <c r="G167" s="24" t="s">
        <v>249</v>
      </c>
      <c r="H167" s="24" t="s">
        <v>705</v>
      </c>
      <c r="I167" s="24"/>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row>
    <row r="168" spans="1:49" ht="18" customHeight="1" x14ac:dyDescent="0.3">
      <c r="A168" s="1"/>
      <c r="B168" s="21">
        <v>2018</v>
      </c>
      <c r="C168" s="7" t="s">
        <v>601</v>
      </c>
      <c r="D168" s="7">
        <v>1964.69</v>
      </c>
      <c r="E168" s="120" t="s">
        <v>743</v>
      </c>
      <c r="F168" s="120" t="s">
        <v>419</v>
      </c>
      <c r="G168" s="24" t="s">
        <v>194</v>
      </c>
      <c r="H168" s="24" t="s">
        <v>694</v>
      </c>
      <c r="I168" s="24"/>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row>
    <row r="169" spans="1:49" ht="18" customHeight="1" x14ac:dyDescent="0.3">
      <c r="A169" s="1"/>
      <c r="B169" s="21">
        <v>2010</v>
      </c>
      <c r="C169" s="7" t="s">
        <v>599</v>
      </c>
      <c r="D169" s="7">
        <v>2046.9900000000002</v>
      </c>
      <c r="E169" s="120" t="s">
        <v>704</v>
      </c>
      <c r="F169" s="120" t="s">
        <v>338</v>
      </c>
      <c r="G169" s="24" t="s">
        <v>249</v>
      </c>
      <c r="H169" s="24" t="s">
        <v>705</v>
      </c>
      <c r="I169" s="24"/>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row>
    <row r="170" spans="1:49" ht="18" customHeight="1" x14ac:dyDescent="0.3">
      <c r="A170" s="1"/>
      <c r="B170" s="21">
        <v>1981</v>
      </c>
      <c r="C170" s="7" t="s">
        <v>601</v>
      </c>
      <c r="D170" s="7">
        <v>2840.05</v>
      </c>
      <c r="E170" s="120" t="s">
        <v>200</v>
      </c>
      <c r="F170" s="120" t="s">
        <v>744</v>
      </c>
      <c r="G170" s="24" t="s">
        <v>201</v>
      </c>
      <c r="H170" s="24" t="s">
        <v>200</v>
      </c>
      <c r="I170" s="24"/>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row>
    <row r="171" spans="1:49" ht="18" customHeight="1" x14ac:dyDescent="0.3">
      <c r="A171" s="1"/>
      <c r="B171" s="21">
        <v>2008</v>
      </c>
      <c r="C171" s="7" t="s">
        <v>599</v>
      </c>
      <c r="D171" s="7">
        <v>1682</v>
      </c>
      <c r="E171" s="120" t="s">
        <v>745</v>
      </c>
      <c r="F171" s="120" t="s">
        <v>746</v>
      </c>
      <c r="G171" s="24" t="s">
        <v>201</v>
      </c>
      <c r="H171" s="24" t="s">
        <v>200</v>
      </c>
      <c r="I171" s="24"/>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row>
    <row r="172" spans="1:49" ht="18" customHeight="1" x14ac:dyDescent="0.3">
      <c r="A172" s="1"/>
      <c r="B172" s="21">
        <v>2019</v>
      </c>
      <c r="C172" s="7" t="s">
        <v>599</v>
      </c>
      <c r="D172" s="7">
        <v>2030.98</v>
      </c>
      <c r="E172" s="120" t="s">
        <v>196</v>
      </c>
      <c r="F172" s="120" t="s">
        <v>747</v>
      </c>
      <c r="G172" s="24" t="s">
        <v>197</v>
      </c>
      <c r="H172" s="24" t="s">
        <v>694</v>
      </c>
      <c r="I172" s="24"/>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row>
    <row r="173" spans="1:49" ht="18" customHeight="1" x14ac:dyDescent="0.3">
      <c r="A173" s="1"/>
      <c r="B173" s="21">
        <v>2000</v>
      </c>
      <c r="C173" s="7" t="s">
        <v>599</v>
      </c>
      <c r="D173" s="7">
        <v>1806.06</v>
      </c>
      <c r="E173" s="120" t="s">
        <v>200</v>
      </c>
      <c r="F173" s="120" t="s">
        <v>748</v>
      </c>
      <c r="G173" s="24" t="s">
        <v>201</v>
      </c>
      <c r="H173" s="24" t="s">
        <v>200</v>
      </c>
      <c r="I173" s="24"/>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row>
    <row r="174" spans="1:49" ht="18" customHeight="1" x14ac:dyDescent="0.3">
      <c r="A174" s="1"/>
      <c r="B174" s="21">
        <v>2013</v>
      </c>
      <c r="C174" s="7" t="s">
        <v>601</v>
      </c>
      <c r="D174" s="7">
        <v>968.97</v>
      </c>
      <c r="E174" s="120" t="s">
        <v>200</v>
      </c>
      <c r="F174" s="120" t="s">
        <v>749</v>
      </c>
      <c r="G174" s="24" t="s">
        <v>201</v>
      </c>
      <c r="H174" s="24" t="s">
        <v>200</v>
      </c>
      <c r="I174" s="24"/>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row>
    <row r="175" spans="1:49" ht="18" customHeight="1" x14ac:dyDescent="0.3">
      <c r="A175" s="1"/>
      <c r="B175" s="21">
        <v>2008</v>
      </c>
      <c r="C175" s="7" t="s">
        <v>599</v>
      </c>
      <c r="D175" s="7">
        <v>1582</v>
      </c>
      <c r="E175" s="120" t="s">
        <v>327</v>
      </c>
      <c r="F175" s="120" t="s">
        <v>328</v>
      </c>
      <c r="G175" s="24" t="s">
        <v>194</v>
      </c>
      <c r="H175" s="24" t="s">
        <v>610</v>
      </c>
      <c r="I175" s="24"/>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row>
    <row r="176" spans="1:49" ht="18" customHeight="1" x14ac:dyDescent="0.3">
      <c r="A176" s="1"/>
      <c r="B176" s="21">
        <v>2004</v>
      </c>
      <c r="C176" s="7" t="s">
        <v>599</v>
      </c>
      <c r="D176" s="7">
        <v>1911.27</v>
      </c>
      <c r="E176" s="120" t="s">
        <v>750</v>
      </c>
      <c r="F176" s="120" t="s">
        <v>270</v>
      </c>
      <c r="G176" s="24" t="s">
        <v>201</v>
      </c>
      <c r="H176" s="24" t="s">
        <v>669</v>
      </c>
      <c r="I176" s="24"/>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row>
    <row r="177" spans="1:49" ht="18" customHeight="1" x14ac:dyDescent="0.3">
      <c r="A177" s="1"/>
      <c r="B177" s="21">
        <v>2013</v>
      </c>
      <c r="C177" s="7" t="s">
        <v>601</v>
      </c>
      <c r="D177" s="7">
        <v>1136.56</v>
      </c>
      <c r="E177" s="120" t="s">
        <v>383</v>
      </c>
      <c r="F177" s="120" t="s">
        <v>751</v>
      </c>
      <c r="G177" s="24" t="s">
        <v>225</v>
      </c>
      <c r="H177" s="24" t="s">
        <v>720</v>
      </c>
      <c r="I177" s="24"/>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row>
    <row r="178" spans="1:49" ht="18" customHeight="1" x14ac:dyDescent="0.3">
      <c r="A178" s="1"/>
      <c r="B178" s="21">
        <v>1981</v>
      </c>
      <c r="C178" s="7" t="s">
        <v>599</v>
      </c>
      <c r="D178" s="7">
        <v>3631.38</v>
      </c>
      <c r="E178" s="120" t="s">
        <v>200</v>
      </c>
      <c r="F178" s="120" t="s">
        <v>208</v>
      </c>
      <c r="G178" s="24" t="s">
        <v>201</v>
      </c>
      <c r="H178" s="24" t="s">
        <v>200</v>
      </c>
      <c r="I178" s="24"/>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row>
    <row r="179" spans="1:49" ht="18" customHeight="1" x14ac:dyDescent="0.3">
      <c r="A179" s="1"/>
      <c r="B179" s="21">
        <v>2008</v>
      </c>
      <c r="C179" s="7" t="s">
        <v>599</v>
      </c>
      <c r="D179" s="7">
        <v>977.46</v>
      </c>
      <c r="E179" s="120" t="s">
        <v>326</v>
      </c>
      <c r="F179" s="120" t="s">
        <v>752</v>
      </c>
      <c r="G179" s="24" t="s">
        <v>194</v>
      </c>
      <c r="H179" s="24" t="s">
        <v>615</v>
      </c>
      <c r="I179" s="24"/>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row>
    <row r="180" spans="1:49" ht="18" customHeight="1" x14ac:dyDescent="0.3">
      <c r="A180" s="1"/>
      <c r="B180" s="21">
        <v>2006</v>
      </c>
      <c r="C180" s="7" t="s">
        <v>601</v>
      </c>
      <c r="D180" s="7">
        <v>2549.84</v>
      </c>
      <c r="E180" s="120" t="s">
        <v>718</v>
      </c>
      <c r="F180" s="120" t="s">
        <v>753</v>
      </c>
      <c r="G180" s="24" t="s">
        <v>225</v>
      </c>
      <c r="H180" s="24" t="s">
        <v>720</v>
      </c>
      <c r="I180" s="24"/>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row>
    <row r="181" spans="1:49" ht="18" customHeight="1" x14ac:dyDescent="0.3">
      <c r="A181" s="1"/>
      <c r="B181" s="21">
        <v>2014</v>
      </c>
      <c r="C181" s="7" t="s">
        <v>599</v>
      </c>
      <c r="D181" s="7">
        <v>1789.84</v>
      </c>
      <c r="E181" s="120" t="s">
        <v>200</v>
      </c>
      <c r="F181" s="120" t="s">
        <v>754</v>
      </c>
      <c r="G181" s="24" t="s">
        <v>201</v>
      </c>
      <c r="H181" s="24" t="s">
        <v>200</v>
      </c>
      <c r="I181" s="24"/>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row>
    <row r="182" spans="1:49" ht="18" customHeight="1" x14ac:dyDescent="0.3">
      <c r="A182" s="1"/>
      <c r="B182" s="21">
        <v>2009</v>
      </c>
      <c r="C182" s="7" t="s">
        <v>599</v>
      </c>
      <c r="D182" s="7">
        <v>2017.2</v>
      </c>
      <c r="E182" s="120" t="s">
        <v>718</v>
      </c>
      <c r="F182" s="120" t="s">
        <v>755</v>
      </c>
      <c r="G182" s="24" t="s">
        <v>225</v>
      </c>
      <c r="H182" s="24" t="s">
        <v>720</v>
      </c>
      <c r="I182" s="24"/>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row>
    <row r="183" spans="1:49" ht="18" customHeight="1" x14ac:dyDescent="0.3">
      <c r="A183" s="1"/>
      <c r="B183" s="21">
        <v>2013</v>
      </c>
      <c r="C183" s="7" t="s">
        <v>599</v>
      </c>
      <c r="D183" s="7">
        <v>1935.49</v>
      </c>
      <c r="E183" s="120" t="s">
        <v>718</v>
      </c>
      <c r="F183" s="120" t="s">
        <v>385</v>
      </c>
      <c r="G183" s="24" t="s">
        <v>225</v>
      </c>
      <c r="H183" s="24" t="s">
        <v>720</v>
      </c>
      <c r="I183" s="24"/>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row>
    <row r="184" spans="1:49" ht="18" customHeight="1" x14ac:dyDescent="0.3">
      <c r="A184" s="1"/>
      <c r="B184" s="21">
        <v>1985</v>
      </c>
      <c r="C184" s="7" t="s">
        <v>601</v>
      </c>
      <c r="D184" s="7">
        <v>3351.23</v>
      </c>
      <c r="E184" s="120" t="s">
        <v>200</v>
      </c>
      <c r="F184" s="120" t="s">
        <v>756</v>
      </c>
      <c r="G184" s="24" t="s">
        <v>201</v>
      </c>
      <c r="H184" s="24" t="s">
        <v>200</v>
      </c>
      <c r="I184" s="24"/>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row>
    <row r="185" spans="1:49" ht="18" customHeight="1" x14ac:dyDescent="0.3">
      <c r="A185" s="1"/>
      <c r="B185" s="21">
        <v>2018</v>
      </c>
      <c r="C185" s="7" t="s">
        <v>599</v>
      </c>
      <c r="D185" s="7">
        <v>2061.39</v>
      </c>
      <c r="E185" s="120" t="s">
        <v>301</v>
      </c>
      <c r="F185" s="120" t="s">
        <v>757</v>
      </c>
      <c r="G185" s="24" t="s">
        <v>244</v>
      </c>
      <c r="H185" s="24" t="s">
        <v>758</v>
      </c>
      <c r="I185" s="24"/>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row>
    <row r="186" spans="1:49" ht="18" customHeight="1" x14ac:dyDescent="0.3">
      <c r="A186" s="1"/>
      <c r="B186" s="21">
        <v>2010</v>
      </c>
      <c r="C186" s="7" t="s">
        <v>599</v>
      </c>
      <c r="D186" s="7">
        <v>1019.71</v>
      </c>
      <c r="E186" s="120" t="s">
        <v>269</v>
      </c>
      <c r="F186" s="120" t="s">
        <v>759</v>
      </c>
      <c r="G186" s="24" t="s">
        <v>201</v>
      </c>
      <c r="H186" s="24" t="s">
        <v>669</v>
      </c>
      <c r="I186" s="24"/>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row>
    <row r="187" spans="1:49" ht="18" customHeight="1" x14ac:dyDescent="0.3">
      <c r="A187" s="1"/>
      <c r="B187" s="21">
        <v>2009</v>
      </c>
      <c r="C187" s="7" t="s">
        <v>599</v>
      </c>
      <c r="D187" s="7">
        <v>1827.1100000000001</v>
      </c>
      <c r="E187" s="120" t="s">
        <v>670</v>
      </c>
      <c r="F187" s="120" t="s">
        <v>760</v>
      </c>
      <c r="G187" s="24" t="s">
        <v>100</v>
      </c>
      <c r="H187" s="24" t="s">
        <v>672</v>
      </c>
      <c r="I187" s="24"/>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row>
    <row r="188" spans="1:49" ht="18" customHeight="1" x14ac:dyDescent="0.3">
      <c r="A188" s="1"/>
      <c r="B188" s="21">
        <v>2006</v>
      </c>
      <c r="C188" s="7" t="s">
        <v>599</v>
      </c>
      <c r="D188" s="7">
        <v>1475.12</v>
      </c>
      <c r="E188" s="120" t="s">
        <v>206</v>
      </c>
      <c r="F188" s="120" t="s">
        <v>761</v>
      </c>
      <c r="G188" s="24" t="s">
        <v>194</v>
      </c>
      <c r="H188" s="24" t="s">
        <v>615</v>
      </c>
      <c r="I188" s="24"/>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row>
    <row r="189" spans="1:49" ht="18" customHeight="1" x14ac:dyDescent="0.3">
      <c r="A189" s="1"/>
      <c r="B189" s="21">
        <v>2010</v>
      </c>
      <c r="C189" s="7" t="s">
        <v>599</v>
      </c>
      <c r="D189" s="7">
        <v>1046.78</v>
      </c>
      <c r="E189" s="120" t="s">
        <v>762</v>
      </c>
      <c r="F189" s="120" t="s">
        <v>763</v>
      </c>
      <c r="G189" s="24" t="s">
        <v>201</v>
      </c>
      <c r="H189" s="24" t="s">
        <v>669</v>
      </c>
      <c r="I189" s="24"/>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row>
    <row r="190" spans="1:49" ht="18" customHeight="1" x14ac:dyDescent="0.3">
      <c r="A190" s="1"/>
      <c r="B190" s="21">
        <v>1986</v>
      </c>
      <c r="C190" s="7" t="s">
        <v>599</v>
      </c>
      <c r="D190" s="7">
        <v>2978.93</v>
      </c>
      <c r="E190" s="120" t="s">
        <v>667</v>
      </c>
      <c r="F190" s="120" t="s">
        <v>764</v>
      </c>
      <c r="G190" s="24" t="s">
        <v>201</v>
      </c>
      <c r="H190" s="24" t="s">
        <v>669</v>
      </c>
      <c r="I190" s="24"/>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row>
    <row r="191" spans="1:49" ht="18" customHeight="1" x14ac:dyDescent="0.3">
      <c r="A191" s="1"/>
      <c r="B191" s="21">
        <v>2009</v>
      </c>
      <c r="C191" s="7" t="s">
        <v>599</v>
      </c>
      <c r="D191" s="7">
        <v>1810</v>
      </c>
      <c r="E191" s="120" t="s">
        <v>211</v>
      </c>
      <c r="F191" s="120" t="s">
        <v>221</v>
      </c>
      <c r="G191" s="24" t="s">
        <v>199</v>
      </c>
      <c r="H191" s="24" t="s">
        <v>662</v>
      </c>
      <c r="I191" s="24"/>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row>
    <row r="192" spans="1:49" ht="18" customHeight="1" x14ac:dyDescent="0.3">
      <c r="A192" s="1"/>
      <c r="B192" s="21">
        <v>2004</v>
      </c>
      <c r="C192" s="7" t="s">
        <v>599</v>
      </c>
      <c r="D192" s="7">
        <v>1701.59</v>
      </c>
      <c r="E192" s="120" t="s">
        <v>269</v>
      </c>
      <c r="F192" s="120" t="s">
        <v>765</v>
      </c>
      <c r="G192" s="24" t="s">
        <v>201</v>
      </c>
      <c r="H192" s="24" t="s">
        <v>669</v>
      </c>
      <c r="I192" s="24"/>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row>
    <row r="193" spans="1:49" ht="18" customHeight="1" x14ac:dyDescent="0.3">
      <c r="A193" s="1"/>
      <c r="B193" s="21">
        <v>2011</v>
      </c>
      <c r="C193" s="7" t="s">
        <v>601</v>
      </c>
      <c r="D193" s="7">
        <v>2117.36</v>
      </c>
      <c r="E193" s="120" t="s">
        <v>766</v>
      </c>
      <c r="F193" s="120" t="s">
        <v>767</v>
      </c>
      <c r="G193" s="24" t="s">
        <v>201</v>
      </c>
      <c r="H193" s="24" t="s">
        <v>669</v>
      </c>
      <c r="I193" s="24"/>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row>
    <row r="194" spans="1:49" ht="18" customHeight="1" x14ac:dyDescent="0.3">
      <c r="A194" s="1"/>
      <c r="B194" s="21">
        <v>1985</v>
      </c>
      <c r="C194" s="7" t="s">
        <v>601</v>
      </c>
      <c r="D194" s="7">
        <v>3159.4700000000003</v>
      </c>
      <c r="E194" s="120" t="s">
        <v>200</v>
      </c>
      <c r="F194" s="120" t="s">
        <v>768</v>
      </c>
      <c r="G194" s="24" t="s">
        <v>201</v>
      </c>
      <c r="H194" s="24" t="s">
        <v>200</v>
      </c>
      <c r="I194" s="24"/>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row>
    <row r="195" spans="1:49" ht="18" customHeight="1" x14ac:dyDescent="0.3">
      <c r="A195" s="1"/>
      <c r="B195" s="21">
        <v>2011</v>
      </c>
      <c r="C195" s="7" t="s">
        <v>599</v>
      </c>
      <c r="D195" s="7">
        <v>1005.4</v>
      </c>
      <c r="E195" s="120" t="s">
        <v>769</v>
      </c>
      <c r="F195" s="120" t="s">
        <v>357</v>
      </c>
      <c r="G195" s="24" t="s">
        <v>194</v>
      </c>
      <c r="H195" s="24" t="s">
        <v>615</v>
      </c>
      <c r="I195" s="24"/>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row>
    <row r="196" spans="1:49" ht="18" customHeight="1" x14ac:dyDescent="0.3">
      <c r="A196" s="1"/>
      <c r="B196" s="21">
        <v>2005</v>
      </c>
      <c r="C196" s="7" t="s">
        <v>599</v>
      </c>
      <c r="D196" s="7">
        <v>1610.13</v>
      </c>
      <c r="E196" s="120" t="s">
        <v>278</v>
      </c>
      <c r="F196" s="120" t="s">
        <v>282</v>
      </c>
      <c r="G196" s="24" t="s">
        <v>279</v>
      </c>
      <c r="H196" s="24" t="s">
        <v>770</v>
      </c>
      <c r="I196" s="24"/>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row>
    <row r="197" spans="1:49" ht="18" customHeight="1" x14ac:dyDescent="0.3">
      <c r="A197" s="1"/>
      <c r="B197" s="21">
        <v>2011</v>
      </c>
      <c r="C197" s="7" t="s">
        <v>601</v>
      </c>
      <c r="D197" s="7">
        <v>2359.4499999999998</v>
      </c>
      <c r="E197" s="120" t="s">
        <v>200</v>
      </c>
      <c r="F197" s="120" t="s">
        <v>262</v>
      </c>
      <c r="G197" s="24" t="s">
        <v>201</v>
      </c>
      <c r="H197" s="24" t="s">
        <v>200</v>
      </c>
      <c r="I197" s="24"/>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row>
    <row r="198" spans="1:49" ht="18" customHeight="1" x14ac:dyDescent="0.3">
      <c r="A198" s="1"/>
      <c r="B198" s="21">
        <v>2002</v>
      </c>
      <c r="C198" s="7" t="s">
        <v>599</v>
      </c>
      <c r="D198" s="7">
        <v>2557.79</v>
      </c>
      <c r="E198" s="120" t="s">
        <v>200</v>
      </c>
      <c r="F198" s="120" t="s">
        <v>771</v>
      </c>
      <c r="G198" s="24" t="s">
        <v>201</v>
      </c>
      <c r="H198" s="24" t="s">
        <v>200</v>
      </c>
      <c r="I198" s="24"/>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row>
    <row r="199" spans="1:49" ht="18" customHeight="1" x14ac:dyDescent="0.3">
      <c r="A199" s="1"/>
      <c r="B199" s="21">
        <v>2007</v>
      </c>
      <c r="C199" s="7" t="s">
        <v>599</v>
      </c>
      <c r="D199" s="7">
        <v>1685.41</v>
      </c>
      <c r="E199" s="120" t="s">
        <v>278</v>
      </c>
      <c r="F199" s="120" t="s">
        <v>224</v>
      </c>
      <c r="G199" s="24" t="s">
        <v>279</v>
      </c>
      <c r="H199" s="24" t="s">
        <v>770</v>
      </c>
      <c r="I199" s="24"/>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row>
    <row r="200" spans="1:49" ht="18" customHeight="1" x14ac:dyDescent="0.3">
      <c r="A200" s="1"/>
      <c r="B200" s="21">
        <v>2003</v>
      </c>
      <c r="C200" s="7" t="s">
        <v>599</v>
      </c>
      <c r="D200" s="7">
        <v>1931.3</v>
      </c>
      <c r="E200" s="120" t="s">
        <v>200</v>
      </c>
      <c r="F200" s="120" t="s">
        <v>261</v>
      </c>
      <c r="G200" s="24" t="s">
        <v>201</v>
      </c>
      <c r="H200" s="24" t="s">
        <v>200</v>
      </c>
      <c r="I200" s="24"/>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row>
    <row r="201" spans="1:49" ht="18" customHeight="1" x14ac:dyDescent="0.3">
      <c r="A201" s="1"/>
      <c r="B201" s="21">
        <v>2012</v>
      </c>
      <c r="C201" s="7" t="s">
        <v>599</v>
      </c>
      <c r="D201" s="7">
        <v>2104.0700000000002</v>
      </c>
      <c r="E201" s="120" t="s">
        <v>200</v>
      </c>
      <c r="F201" s="120" t="s">
        <v>263</v>
      </c>
      <c r="G201" s="24" t="s">
        <v>201</v>
      </c>
      <c r="H201" s="24" t="s">
        <v>200</v>
      </c>
      <c r="I201" s="24"/>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row>
    <row r="202" spans="1:49" ht="18" customHeight="1" x14ac:dyDescent="0.3">
      <c r="A202" s="1"/>
      <c r="B202" s="21">
        <v>2013</v>
      </c>
      <c r="C202" s="7" t="s">
        <v>599</v>
      </c>
      <c r="D202" s="7">
        <v>1563.5</v>
      </c>
      <c r="E202" s="120" t="s">
        <v>200</v>
      </c>
      <c r="F202" s="120" t="s">
        <v>772</v>
      </c>
      <c r="G202" s="24" t="s">
        <v>201</v>
      </c>
      <c r="H202" s="24" t="s">
        <v>200</v>
      </c>
      <c r="I202" s="24"/>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row>
    <row r="203" spans="1:49" ht="18" customHeight="1" x14ac:dyDescent="0.3">
      <c r="A203" s="1"/>
      <c r="B203" s="21">
        <v>1989</v>
      </c>
      <c r="C203" s="7" t="s">
        <v>599</v>
      </c>
      <c r="D203" s="7">
        <v>3392.1800000000003</v>
      </c>
      <c r="E203" s="120" t="s">
        <v>200</v>
      </c>
      <c r="F203" s="120" t="s">
        <v>224</v>
      </c>
      <c r="G203" s="24" t="s">
        <v>201</v>
      </c>
      <c r="H203" s="24" t="s">
        <v>200</v>
      </c>
      <c r="I203" s="24"/>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row>
    <row r="204" spans="1:49" ht="18" customHeight="1" x14ac:dyDescent="0.3">
      <c r="A204" s="1"/>
      <c r="B204" s="21">
        <v>2009</v>
      </c>
      <c r="C204" s="7" t="s">
        <v>599</v>
      </c>
      <c r="D204" s="7">
        <v>1069.72</v>
      </c>
      <c r="E204" s="120" t="s">
        <v>330</v>
      </c>
      <c r="F204" s="120" t="s">
        <v>331</v>
      </c>
      <c r="G204" s="24" t="s">
        <v>194</v>
      </c>
      <c r="H204" s="24" t="s">
        <v>615</v>
      </c>
      <c r="I204" s="24"/>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row>
    <row r="205" spans="1:49" ht="18" customHeight="1" x14ac:dyDescent="0.3">
      <c r="A205" s="1"/>
      <c r="B205" s="21">
        <v>2003</v>
      </c>
      <c r="C205" s="7" t="s">
        <v>599</v>
      </c>
      <c r="D205" s="7">
        <v>1189.8</v>
      </c>
      <c r="E205" s="120" t="s">
        <v>259</v>
      </c>
      <c r="F205" s="120" t="s">
        <v>260</v>
      </c>
      <c r="G205" s="24" t="s">
        <v>201</v>
      </c>
      <c r="H205" s="24" t="s">
        <v>669</v>
      </c>
      <c r="I205" s="24"/>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row>
    <row r="206" spans="1:49" ht="18" customHeight="1" x14ac:dyDescent="0.3">
      <c r="A206" s="1"/>
      <c r="B206" s="21">
        <v>1979</v>
      </c>
      <c r="C206" s="7" t="s">
        <v>599</v>
      </c>
      <c r="D206" s="7">
        <v>2020</v>
      </c>
      <c r="E206" s="120" t="s">
        <v>202</v>
      </c>
      <c r="F206" s="120" t="s">
        <v>203</v>
      </c>
      <c r="G206" s="24" t="s">
        <v>204</v>
      </c>
      <c r="H206" s="24" t="s">
        <v>654</v>
      </c>
      <c r="I206" s="24"/>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row>
    <row r="207" spans="1:49" ht="18" customHeight="1" x14ac:dyDescent="0.3">
      <c r="A207" s="1"/>
      <c r="B207" s="21">
        <v>2008</v>
      </c>
      <c r="C207" s="7" t="s">
        <v>599</v>
      </c>
      <c r="D207" s="7">
        <v>1051.4000000000001</v>
      </c>
      <c r="E207" s="120" t="s">
        <v>299</v>
      </c>
      <c r="F207" s="120" t="s">
        <v>773</v>
      </c>
      <c r="G207" s="24" t="s">
        <v>204</v>
      </c>
      <c r="H207" s="24" t="s">
        <v>654</v>
      </c>
      <c r="I207" s="24"/>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row>
    <row r="208" spans="1:49" ht="18" customHeight="1" x14ac:dyDescent="0.3">
      <c r="A208" s="1"/>
      <c r="B208" s="21">
        <v>2004</v>
      </c>
      <c r="C208" s="7" t="s">
        <v>599</v>
      </c>
      <c r="D208" s="7">
        <v>1718</v>
      </c>
      <c r="E208" s="120" t="s">
        <v>774</v>
      </c>
      <c r="F208" s="120" t="s">
        <v>273</v>
      </c>
      <c r="G208" s="24" t="s">
        <v>204</v>
      </c>
      <c r="H208" s="24" t="s">
        <v>654</v>
      </c>
      <c r="I208" s="24"/>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row>
    <row r="209" spans="1:49" ht="18" customHeight="1" x14ac:dyDescent="0.3">
      <c r="A209" s="1"/>
      <c r="B209" s="21">
        <v>2009</v>
      </c>
      <c r="C209" s="7" t="s">
        <v>599</v>
      </c>
      <c r="D209" s="7">
        <v>1580.14</v>
      </c>
      <c r="E209" s="120" t="s">
        <v>202</v>
      </c>
      <c r="F209" s="120" t="s">
        <v>775</v>
      </c>
      <c r="G209" s="24" t="s">
        <v>204</v>
      </c>
      <c r="H209" s="24" t="s">
        <v>654</v>
      </c>
      <c r="I209" s="24"/>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row>
    <row r="210" spans="1:49" ht="18" customHeight="1" x14ac:dyDescent="0.3">
      <c r="A210" s="1"/>
      <c r="B210" s="21">
        <v>2020</v>
      </c>
      <c r="C210" s="7" t="s">
        <v>599</v>
      </c>
      <c r="D210" s="7">
        <v>2050.96</v>
      </c>
      <c r="E210" s="120" t="s">
        <v>428</v>
      </c>
      <c r="F210" s="120" t="s">
        <v>776</v>
      </c>
      <c r="G210" s="24" t="s">
        <v>217</v>
      </c>
      <c r="H210" s="24" t="s">
        <v>648</v>
      </c>
      <c r="I210" s="24"/>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row>
    <row r="211" spans="1:49" ht="18" customHeight="1" x14ac:dyDescent="0.3">
      <c r="A211" s="1"/>
      <c r="B211" s="21">
        <v>2009</v>
      </c>
      <c r="C211" s="7" t="s">
        <v>599</v>
      </c>
      <c r="D211" s="7">
        <v>2638.2299999999996</v>
      </c>
      <c r="E211" s="120" t="s">
        <v>267</v>
      </c>
      <c r="F211" s="120" t="s">
        <v>334</v>
      </c>
      <c r="G211" s="24" t="s">
        <v>194</v>
      </c>
      <c r="H211" s="24" t="s">
        <v>610</v>
      </c>
      <c r="I211" s="24"/>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row>
    <row r="212" spans="1:49" ht="18" customHeight="1" x14ac:dyDescent="0.3">
      <c r="A212" s="1"/>
      <c r="B212" s="21">
        <v>2006</v>
      </c>
      <c r="C212" s="7" t="s">
        <v>601</v>
      </c>
      <c r="D212" s="7">
        <v>1892.64</v>
      </c>
      <c r="E212" s="120" t="s">
        <v>299</v>
      </c>
      <c r="F212" s="120" t="s">
        <v>777</v>
      </c>
      <c r="G212" s="24" t="s">
        <v>204</v>
      </c>
      <c r="H212" s="24" t="s">
        <v>654</v>
      </c>
      <c r="I212" s="24"/>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row>
    <row r="213" spans="1:49" ht="18" customHeight="1" x14ac:dyDescent="0.3">
      <c r="A213" s="1"/>
      <c r="B213" s="21">
        <v>2010</v>
      </c>
      <c r="C213" s="7" t="s">
        <v>599</v>
      </c>
      <c r="D213" s="7">
        <v>1807.54</v>
      </c>
      <c r="E213" s="120" t="s">
        <v>202</v>
      </c>
      <c r="F213" s="120" t="s">
        <v>342</v>
      </c>
      <c r="G213" s="24" t="s">
        <v>204</v>
      </c>
      <c r="H213" s="24" t="s">
        <v>654</v>
      </c>
      <c r="I213" s="24"/>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row>
    <row r="214" spans="1:49" ht="18" customHeight="1" x14ac:dyDescent="0.3">
      <c r="A214" s="1"/>
      <c r="B214" s="21">
        <v>1982</v>
      </c>
      <c r="C214" s="7" t="s">
        <v>601</v>
      </c>
      <c r="D214" s="7">
        <v>3304.8100000000004</v>
      </c>
      <c r="E214" s="120" t="s">
        <v>202</v>
      </c>
      <c r="F214" s="120" t="s">
        <v>778</v>
      </c>
      <c r="G214" s="24" t="s">
        <v>204</v>
      </c>
      <c r="H214" s="24" t="s">
        <v>654</v>
      </c>
      <c r="I214" s="24"/>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row>
    <row r="215" spans="1:49" ht="18" customHeight="1" x14ac:dyDescent="0.3">
      <c r="A215" s="1"/>
      <c r="B215" s="21">
        <v>2003</v>
      </c>
      <c r="C215" s="7" t="s">
        <v>601</v>
      </c>
      <c r="D215" s="7">
        <v>2877.87</v>
      </c>
      <c r="E215" s="120" t="s">
        <v>202</v>
      </c>
      <c r="F215" s="120" t="s">
        <v>778</v>
      </c>
      <c r="G215" s="24" t="s">
        <v>204</v>
      </c>
      <c r="H215" s="24" t="s">
        <v>654</v>
      </c>
      <c r="I215" s="24"/>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row>
    <row r="216" spans="1:49" ht="18" customHeight="1" x14ac:dyDescent="0.3">
      <c r="A216" s="1"/>
      <c r="B216" s="21">
        <v>2015</v>
      </c>
      <c r="C216" s="7" t="s">
        <v>599</v>
      </c>
      <c r="D216" s="7">
        <v>1000.86</v>
      </c>
      <c r="E216" s="120" t="s">
        <v>774</v>
      </c>
      <c r="F216" s="120" t="s">
        <v>417</v>
      </c>
      <c r="G216" s="24" t="s">
        <v>204</v>
      </c>
      <c r="H216" s="24" t="s">
        <v>654</v>
      </c>
      <c r="I216" s="24"/>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row>
    <row r="217" spans="1:49" ht="18" customHeight="1" x14ac:dyDescent="0.3">
      <c r="A217" s="1"/>
      <c r="B217" s="21">
        <v>2010</v>
      </c>
      <c r="C217" s="7" t="s">
        <v>599</v>
      </c>
      <c r="D217" s="7">
        <v>996.47</v>
      </c>
      <c r="E217" s="120" t="s">
        <v>340</v>
      </c>
      <c r="F217" s="120" t="s">
        <v>341</v>
      </c>
      <c r="G217" s="24" t="s">
        <v>204</v>
      </c>
      <c r="H217" s="24" t="s">
        <v>654</v>
      </c>
      <c r="I217" s="24"/>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row>
    <row r="218" spans="1:49" ht="18" customHeight="1" x14ac:dyDescent="0.3">
      <c r="A218" s="1"/>
      <c r="B218" s="21">
        <v>1991</v>
      </c>
      <c r="C218" s="7" t="s">
        <v>599</v>
      </c>
      <c r="D218" s="7">
        <v>1811.31</v>
      </c>
      <c r="E218" s="120" t="s">
        <v>202</v>
      </c>
      <c r="F218" s="120" t="s">
        <v>229</v>
      </c>
      <c r="G218" s="24" t="s">
        <v>204</v>
      </c>
      <c r="H218" s="24" t="s">
        <v>654</v>
      </c>
      <c r="I218" s="24"/>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row>
    <row r="219" spans="1:49" ht="18" customHeight="1" x14ac:dyDescent="0.3">
      <c r="A219" s="1"/>
      <c r="B219" s="21">
        <v>2011</v>
      </c>
      <c r="C219" s="7" t="s">
        <v>599</v>
      </c>
      <c r="D219" s="7">
        <v>1093.31</v>
      </c>
      <c r="E219" s="120" t="s">
        <v>351</v>
      </c>
      <c r="F219" s="120" t="s">
        <v>779</v>
      </c>
      <c r="G219" s="24" t="s">
        <v>204</v>
      </c>
      <c r="H219" s="24" t="s">
        <v>654</v>
      </c>
      <c r="I219" s="24"/>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row>
    <row r="220" spans="1:49" ht="18" customHeight="1" x14ac:dyDescent="0.3">
      <c r="A220" s="1"/>
      <c r="B220" s="21">
        <v>2013</v>
      </c>
      <c r="C220" s="7" t="s">
        <v>599</v>
      </c>
      <c r="D220" s="7">
        <v>1097.1300000000001</v>
      </c>
      <c r="E220" s="120" t="s">
        <v>780</v>
      </c>
      <c r="F220" s="120" t="s">
        <v>379</v>
      </c>
      <c r="G220" s="24" t="s">
        <v>246</v>
      </c>
      <c r="H220" s="24" t="s">
        <v>359</v>
      </c>
      <c r="I220" s="24"/>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row>
    <row r="221" spans="1:49" ht="18" customHeight="1" x14ac:dyDescent="0.3">
      <c r="A221" s="1"/>
      <c r="B221" s="21">
        <v>2012</v>
      </c>
      <c r="C221" s="7" t="s">
        <v>599</v>
      </c>
      <c r="D221" s="7">
        <v>1074.26</v>
      </c>
      <c r="E221" s="120" t="s">
        <v>257</v>
      </c>
      <c r="F221" s="120" t="s">
        <v>781</v>
      </c>
      <c r="G221" s="24" t="s">
        <v>230</v>
      </c>
      <c r="H221" s="24" t="s">
        <v>782</v>
      </c>
      <c r="I221" s="24"/>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row>
    <row r="222" spans="1:49" ht="18" customHeight="1" x14ac:dyDescent="0.3">
      <c r="A222" s="1"/>
      <c r="B222" s="21">
        <v>1991</v>
      </c>
      <c r="C222" s="7" t="s">
        <v>599</v>
      </c>
      <c r="D222" s="7">
        <v>3178.3999999999996</v>
      </c>
      <c r="E222" s="120" t="s">
        <v>202</v>
      </c>
      <c r="F222" s="120" t="s">
        <v>783</v>
      </c>
      <c r="G222" s="24" t="s">
        <v>204</v>
      </c>
      <c r="H222" s="24" t="s">
        <v>654</v>
      </c>
      <c r="I222" s="24"/>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row>
    <row r="223" spans="1:49" ht="18" customHeight="1" x14ac:dyDescent="0.3">
      <c r="A223" s="1"/>
      <c r="B223" s="21">
        <v>2008</v>
      </c>
      <c r="C223" s="7" t="s">
        <v>599</v>
      </c>
      <c r="D223" s="7">
        <v>1926.51</v>
      </c>
      <c r="E223" s="120" t="s">
        <v>321</v>
      </c>
      <c r="F223" s="120" t="s">
        <v>784</v>
      </c>
      <c r="G223" s="24" t="s">
        <v>322</v>
      </c>
      <c r="H223" s="24" t="s">
        <v>785</v>
      </c>
      <c r="I223" s="24"/>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row>
    <row r="224" spans="1:49" ht="18" customHeight="1" x14ac:dyDescent="0.3">
      <c r="A224" s="1"/>
      <c r="B224" s="21">
        <v>2003</v>
      </c>
      <c r="C224" s="7" t="s">
        <v>599</v>
      </c>
      <c r="D224" s="7">
        <v>2209.2600000000002</v>
      </c>
      <c r="E224" s="120" t="s">
        <v>268</v>
      </c>
      <c r="F224" s="120" t="s">
        <v>786</v>
      </c>
      <c r="G224" s="24" t="s">
        <v>204</v>
      </c>
      <c r="H224" s="24" t="s">
        <v>654</v>
      </c>
      <c r="I224" s="24"/>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row>
    <row r="225" spans="1:49" ht="18" customHeight="1" x14ac:dyDescent="0.3">
      <c r="A225" s="1"/>
      <c r="B225" s="21">
        <v>2012</v>
      </c>
      <c r="C225" s="7" t="s">
        <v>599</v>
      </c>
      <c r="D225" s="7">
        <v>1008.76</v>
      </c>
      <c r="E225" s="120" t="s">
        <v>288</v>
      </c>
      <c r="F225" s="120" t="s">
        <v>367</v>
      </c>
      <c r="G225" s="24" t="s">
        <v>220</v>
      </c>
      <c r="H225" s="24" t="s">
        <v>666</v>
      </c>
      <c r="I225" s="24"/>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row>
    <row r="226" spans="1:49" ht="18" customHeight="1" x14ac:dyDescent="0.3">
      <c r="A226" s="1"/>
      <c r="B226" s="21">
        <v>2013</v>
      </c>
      <c r="C226" s="7" t="s">
        <v>599</v>
      </c>
      <c r="D226" s="7">
        <v>1000.31</v>
      </c>
      <c r="E226" s="120" t="s">
        <v>355</v>
      </c>
      <c r="F226" s="120" t="s">
        <v>390</v>
      </c>
      <c r="G226" s="24" t="s">
        <v>230</v>
      </c>
      <c r="H226" s="24" t="s">
        <v>782</v>
      </c>
      <c r="I226" s="24"/>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row>
    <row r="227" spans="1:49" ht="18" customHeight="1" x14ac:dyDescent="0.3">
      <c r="A227" s="1"/>
      <c r="B227" s="21">
        <v>1993</v>
      </c>
      <c r="C227" s="7" t="s">
        <v>599</v>
      </c>
      <c r="D227" s="7">
        <v>2294.7199999999998</v>
      </c>
      <c r="E227" s="120" t="s">
        <v>787</v>
      </c>
      <c r="F227" s="120" t="s">
        <v>788</v>
      </c>
      <c r="G227" s="24" t="s">
        <v>230</v>
      </c>
      <c r="H227" s="24" t="s">
        <v>782</v>
      </c>
      <c r="I227" s="24"/>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row>
    <row r="228" spans="1:49" ht="18" customHeight="1" x14ac:dyDescent="0.3">
      <c r="A228" s="1"/>
      <c r="B228" s="21">
        <v>2014</v>
      </c>
      <c r="C228" s="7" t="s">
        <v>599</v>
      </c>
      <c r="D228" s="7">
        <v>2017.36</v>
      </c>
      <c r="E228" s="120" t="s">
        <v>394</v>
      </c>
      <c r="F228" s="120" t="s">
        <v>395</v>
      </c>
      <c r="G228" s="24" t="s">
        <v>230</v>
      </c>
      <c r="H228" s="24" t="s">
        <v>782</v>
      </c>
      <c r="I228" s="24"/>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row>
    <row r="229" spans="1:49" ht="18" customHeight="1" x14ac:dyDescent="0.3">
      <c r="A229" s="1"/>
      <c r="B229" s="21">
        <v>2002</v>
      </c>
      <c r="C229" s="7" t="s">
        <v>599</v>
      </c>
      <c r="D229" s="7">
        <v>1702.54</v>
      </c>
      <c r="E229" s="120" t="s">
        <v>257</v>
      </c>
      <c r="F229" s="120" t="s">
        <v>258</v>
      </c>
      <c r="G229" s="24" t="s">
        <v>230</v>
      </c>
      <c r="H229" s="24" t="s">
        <v>782</v>
      </c>
      <c r="I229" s="24"/>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row>
    <row r="230" spans="1:49" ht="18" customHeight="1" x14ac:dyDescent="0.3">
      <c r="A230" s="1"/>
      <c r="B230" s="21">
        <v>2014</v>
      </c>
      <c r="C230" s="7" t="s">
        <v>599</v>
      </c>
      <c r="D230" s="7">
        <v>2201.6999999999998</v>
      </c>
      <c r="E230" s="120" t="s">
        <v>257</v>
      </c>
      <c r="F230" s="120" t="s">
        <v>398</v>
      </c>
      <c r="G230" s="24" t="s">
        <v>230</v>
      </c>
      <c r="H230" s="24" t="s">
        <v>782</v>
      </c>
      <c r="I230" s="24"/>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row>
    <row r="231" spans="1:49" ht="18" customHeight="1" x14ac:dyDescent="0.3">
      <c r="A231" s="1"/>
      <c r="B231" s="21">
        <v>2011</v>
      </c>
      <c r="C231" s="7" t="s">
        <v>599</v>
      </c>
      <c r="D231" s="7">
        <v>2001.61</v>
      </c>
      <c r="E231" s="120" t="s">
        <v>355</v>
      </c>
      <c r="F231" s="120" t="s">
        <v>356</v>
      </c>
      <c r="G231" s="24" t="s">
        <v>230</v>
      </c>
      <c r="H231" s="24" t="s">
        <v>782</v>
      </c>
      <c r="I231" s="24"/>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row>
    <row r="232" spans="1:49" ht="18" customHeight="1" x14ac:dyDescent="0.3">
      <c r="A232" s="1"/>
      <c r="B232" s="21">
        <v>2015</v>
      </c>
      <c r="C232" s="7" t="s">
        <v>599</v>
      </c>
      <c r="D232" s="7">
        <v>2152.6800000000003</v>
      </c>
      <c r="E232" s="120" t="s">
        <v>413</v>
      </c>
      <c r="F232" s="120" t="s">
        <v>789</v>
      </c>
      <c r="G232" s="24" t="s">
        <v>204</v>
      </c>
      <c r="H232" s="24" t="s">
        <v>654</v>
      </c>
      <c r="I232" s="24"/>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row>
    <row r="233" spans="1:49" ht="18" customHeight="1" x14ac:dyDescent="0.3">
      <c r="A233" s="1"/>
      <c r="B233" s="21">
        <v>1998</v>
      </c>
      <c r="C233" s="7" t="s">
        <v>599</v>
      </c>
      <c r="D233" s="7">
        <v>1892.6</v>
      </c>
      <c r="E233" s="120" t="s">
        <v>245</v>
      </c>
      <c r="F233" s="120" t="s">
        <v>790</v>
      </c>
      <c r="G233" s="24" t="s">
        <v>246</v>
      </c>
      <c r="H233" s="24" t="s">
        <v>359</v>
      </c>
      <c r="I233" s="24"/>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row>
    <row r="234" spans="1:49" ht="18" customHeight="1" x14ac:dyDescent="0.3">
      <c r="A234" s="1"/>
      <c r="B234" s="21">
        <v>2008</v>
      </c>
      <c r="C234" s="7" t="s">
        <v>599</v>
      </c>
      <c r="D234" s="7">
        <v>1772.44</v>
      </c>
      <c r="E234" s="120" t="s">
        <v>234</v>
      </c>
      <c r="F234" s="120" t="s">
        <v>329</v>
      </c>
      <c r="G234" s="24" t="s">
        <v>235</v>
      </c>
      <c r="H234" s="24" t="s">
        <v>680</v>
      </c>
      <c r="I234" s="24"/>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row>
    <row r="235" spans="1:49" ht="18" customHeight="1" x14ac:dyDescent="0.3">
      <c r="A235" s="1"/>
      <c r="B235" s="21">
        <v>2006</v>
      </c>
      <c r="C235" s="7" t="s">
        <v>601</v>
      </c>
      <c r="D235" s="7">
        <v>1813.62</v>
      </c>
      <c r="E235" s="120" t="s">
        <v>301</v>
      </c>
      <c r="F235" s="120" t="s">
        <v>791</v>
      </c>
      <c r="G235" s="24" t="s">
        <v>244</v>
      </c>
      <c r="H235" s="24" t="s">
        <v>758</v>
      </c>
      <c r="I235" s="24"/>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row>
    <row r="236" spans="1:49" ht="18" customHeight="1" x14ac:dyDescent="0.3">
      <c r="A236" s="1"/>
      <c r="B236" s="21">
        <v>2011</v>
      </c>
      <c r="C236" s="7" t="s">
        <v>599</v>
      </c>
      <c r="D236" s="7">
        <v>1164.54</v>
      </c>
      <c r="E236" s="120" t="s">
        <v>792</v>
      </c>
      <c r="F236" s="120" t="s">
        <v>793</v>
      </c>
      <c r="G236" s="24" t="s">
        <v>194</v>
      </c>
      <c r="H236" s="24" t="s">
        <v>615</v>
      </c>
      <c r="I236" s="24"/>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row>
    <row r="237" spans="1:49" ht="18" customHeight="1" x14ac:dyDescent="0.3">
      <c r="A237" s="1"/>
      <c r="B237" s="21">
        <v>2012</v>
      </c>
      <c r="C237" s="7" t="s">
        <v>599</v>
      </c>
      <c r="D237" s="7">
        <v>2262.87</v>
      </c>
      <c r="E237" s="120" t="s">
        <v>222</v>
      </c>
      <c r="F237" s="120" t="s">
        <v>794</v>
      </c>
      <c r="G237" s="24" t="s">
        <v>194</v>
      </c>
      <c r="H237" s="24" t="s">
        <v>600</v>
      </c>
      <c r="I237" s="24"/>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row>
    <row r="238" spans="1:49" ht="18" customHeight="1" x14ac:dyDescent="0.3">
      <c r="A238" s="1"/>
      <c r="B238" s="21">
        <v>1998</v>
      </c>
      <c r="C238" s="7" t="s">
        <v>601</v>
      </c>
      <c r="D238" s="7">
        <v>2265.42</v>
      </c>
      <c r="E238" s="120" t="s">
        <v>243</v>
      </c>
      <c r="F238" s="120" t="s">
        <v>795</v>
      </c>
      <c r="G238" s="24" t="s">
        <v>244</v>
      </c>
      <c r="H238" s="24" t="s">
        <v>758</v>
      </c>
      <c r="I238" s="24"/>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row>
    <row r="239" spans="1:49" ht="18" customHeight="1" x14ac:dyDescent="0.3">
      <c r="A239" s="1"/>
      <c r="B239" s="21">
        <v>2002</v>
      </c>
      <c r="C239" s="7" t="s">
        <v>599</v>
      </c>
      <c r="D239" s="7">
        <v>2325</v>
      </c>
      <c r="E239" s="120" t="s">
        <v>243</v>
      </c>
      <c r="F239" s="120" t="s">
        <v>796</v>
      </c>
      <c r="G239" s="24" t="s">
        <v>244</v>
      </c>
      <c r="H239" s="24" t="s">
        <v>758</v>
      </c>
      <c r="I239" s="24"/>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row>
    <row r="240" spans="1:49" ht="18" customHeight="1" x14ac:dyDescent="0.3">
      <c r="A240" s="1"/>
      <c r="B240" s="21">
        <v>2020</v>
      </c>
      <c r="C240" s="7" t="s">
        <v>599</v>
      </c>
      <c r="D240" s="7">
        <v>1997.42</v>
      </c>
      <c r="E240" s="120" t="s">
        <v>222</v>
      </c>
      <c r="F240" s="120" t="s">
        <v>797</v>
      </c>
      <c r="G240" s="24" t="s">
        <v>194</v>
      </c>
      <c r="H240" s="24" t="s">
        <v>222</v>
      </c>
      <c r="I240" s="24"/>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row>
    <row r="241" spans="1:49" ht="18" customHeight="1" x14ac:dyDescent="0.3">
      <c r="A241" s="1"/>
      <c r="B241" s="21">
        <v>2014</v>
      </c>
      <c r="C241" s="7" t="s">
        <v>599</v>
      </c>
      <c r="D241" s="7">
        <v>1202.97</v>
      </c>
      <c r="E241" s="120" t="s">
        <v>402</v>
      </c>
      <c r="F241" s="120" t="s">
        <v>798</v>
      </c>
      <c r="G241" s="24" t="s">
        <v>207</v>
      </c>
      <c r="H241" s="24" t="s">
        <v>799</v>
      </c>
      <c r="I241" s="24"/>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row>
    <row r="242" spans="1:49" ht="18" customHeight="1" x14ac:dyDescent="0.3">
      <c r="A242" s="1"/>
      <c r="B242" s="21">
        <v>2014</v>
      </c>
      <c r="C242" s="7" t="s">
        <v>599</v>
      </c>
      <c r="D242" s="7">
        <v>2260.7600000000002</v>
      </c>
      <c r="E242" s="120" t="s">
        <v>243</v>
      </c>
      <c r="F242" s="120" t="s">
        <v>800</v>
      </c>
      <c r="G242" s="24" t="s">
        <v>244</v>
      </c>
      <c r="H242" s="24" t="s">
        <v>758</v>
      </c>
      <c r="I242" s="24"/>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row>
    <row r="243" spans="1:49" ht="18" customHeight="1" x14ac:dyDescent="0.3">
      <c r="A243" s="1"/>
      <c r="B243" s="21">
        <v>2001</v>
      </c>
      <c r="C243" s="7" t="s">
        <v>599</v>
      </c>
      <c r="D243" s="7">
        <v>1711.87</v>
      </c>
      <c r="E243" s="120" t="s">
        <v>200</v>
      </c>
      <c r="F243" s="120" t="s">
        <v>801</v>
      </c>
      <c r="G243" s="24" t="s">
        <v>201</v>
      </c>
      <c r="H243" s="24" t="s">
        <v>200</v>
      </c>
      <c r="I243" s="24"/>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row>
    <row r="244" spans="1:49" ht="18" customHeight="1" x14ac:dyDescent="0.3">
      <c r="A244" s="1"/>
      <c r="B244" s="21">
        <v>2012</v>
      </c>
      <c r="C244" s="7" t="s">
        <v>599</v>
      </c>
      <c r="D244" s="7">
        <v>2020.25</v>
      </c>
      <c r="E244" s="120" t="s">
        <v>363</v>
      </c>
      <c r="F244" s="120" t="s">
        <v>364</v>
      </c>
      <c r="G244" s="24" t="s">
        <v>235</v>
      </c>
      <c r="H244" s="24" t="s">
        <v>680</v>
      </c>
      <c r="I244" s="24"/>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row>
    <row r="245" spans="1:49" ht="18" customHeight="1" x14ac:dyDescent="0.3">
      <c r="A245" s="1"/>
      <c r="B245" s="21">
        <v>2005</v>
      </c>
      <c r="C245" s="7" t="s">
        <v>599</v>
      </c>
      <c r="D245" s="7">
        <v>1714.27</v>
      </c>
      <c r="E245" s="120" t="s">
        <v>234</v>
      </c>
      <c r="F245" s="120" t="s">
        <v>283</v>
      </c>
      <c r="G245" s="24" t="s">
        <v>235</v>
      </c>
      <c r="H245" s="24" t="s">
        <v>680</v>
      </c>
      <c r="I245" s="24"/>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row>
    <row r="246" spans="1:49" ht="18" customHeight="1" x14ac:dyDescent="0.3">
      <c r="A246" s="1"/>
      <c r="B246" s="21">
        <v>2015</v>
      </c>
      <c r="C246" s="7" t="s">
        <v>599</v>
      </c>
      <c r="D246" s="7">
        <v>956.08</v>
      </c>
      <c r="E246" s="120" t="s">
        <v>234</v>
      </c>
      <c r="F246" s="120" t="s">
        <v>409</v>
      </c>
      <c r="G246" s="24" t="s">
        <v>235</v>
      </c>
      <c r="H246" s="24" t="s">
        <v>680</v>
      </c>
      <c r="I246" s="24"/>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row>
    <row r="247" spans="1:49" ht="18" customHeight="1" x14ac:dyDescent="0.3">
      <c r="A247" s="1"/>
      <c r="B247" s="21">
        <v>2012</v>
      </c>
      <c r="C247" s="7" t="s">
        <v>599</v>
      </c>
      <c r="D247" s="7">
        <v>1879.97</v>
      </c>
      <c r="E247" s="120" t="s">
        <v>370</v>
      </c>
      <c r="F247" s="120" t="s">
        <v>371</v>
      </c>
      <c r="G247" s="24" t="s">
        <v>220</v>
      </c>
      <c r="H247" s="24" t="s">
        <v>666</v>
      </c>
      <c r="I247" s="24"/>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row>
    <row r="248" spans="1:49" ht="18" customHeight="1" x14ac:dyDescent="0.3">
      <c r="A248" s="1"/>
      <c r="B248" s="21">
        <v>2013</v>
      </c>
      <c r="C248" s="7" t="s">
        <v>599</v>
      </c>
      <c r="D248" s="7">
        <v>2201.9699999999998</v>
      </c>
      <c r="E248" s="120" t="s">
        <v>234</v>
      </c>
      <c r="F248" s="120" t="s">
        <v>388</v>
      </c>
      <c r="G248" s="24" t="s">
        <v>235</v>
      </c>
      <c r="H248" s="24" t="s">
        <v>680</v>
      </c>
      <c r="I248" s="24"/>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row>
    <row r="249" spans="1:49" ht="18" customHeight="1" x14ac:dyDescent="0.3">
      <c r="A249" s="1"/>
      <c r="B249" s="21">
        <v>2014</v>
      </c>
      <c r="C249" s="7" t="s">
        <v>599</v>
      </c>
      <c r="D249" s="7">
        <v>1089.1500000000001</v>
      </c>
      <c r="E249" s="120" t="s">
        <v>802</v>
      </c>
      <c r="F249" s="120" t="s">
        <v>406</v>
      </c>
      <c r="G249" s="24" t="s">
        <v>235</v>
      </c>
      <c r="H249" s="24" t="s">
        <v>680</v>
      </c>
      <c r="I249" s="24"/>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row>
    <row r="250" spans="1:49" ht="18" customHeight="1" x14ac:dyDescent="0.3">
      <c r="A250" s="1"/>
      <c r="B250" s="21">
        <v>2000</v>
      </c>
      <c r="C250" s="7" t="s">
        <v>599</v>
      </c>
      <c r="D250" s="7">
        <v>2220.7200000000003</v>
      </c>
      <c r="E250" s="120" t="s">
        <v>252</v>
      </c>
      <c r="F250" s="120" t="s">
        <v>253</v>
      </c>
      <c r="G250" s="24" t="s">
        <v>254</v>
      </c>
      <c r="H250" s="24" t="s">
        <v>803</v>
      </c>
      <c r="I250" s="24"/>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row>
    <row r="251" spans="1:49" ht="18" customHeight="1" x14ac:dyDescent="0.3">
      <c r="A251" s="1"/>
      <c r="B251" s="21">
        <v>2009</v>
      </c>
      <c r="C251" s="7" t="s">
        <v>599</v>
      </c>
      <c r="D251" s="7">
        <v>1903.68</v>
      </c>
      <c r="E251" s="120" t="s">
        <v>252</v>
      </c>
      <c r="F251" s="120" t="s">
        <v>333</v>
      </c>
      <c r="G251" s="24" t="s">
        <v>254</v>
      </c>
      <c r="H251" s="24" t="s">
        <v>803</v>
      </c>
      <c r="I251" s="24"/>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row>
    <row r="252" spans="1:49" ht="18" customHeight="1" x14ac:dyDescent="0.3">
      <c r="A252" s="1"/>
      <c r="B252" s="21">
        <v>2001</v>
      </c>
      <c r="C252" s="7" t="s">
        <v>601</v>
      </c>
      <c r="D252" s="7">
        <v>3306.2699999999995</v>
      </c>
      <c r="E252" s="120" t="s">
        <v>252</v>
      </c>
      <c r="F252" s="120" t="s">
        <v>804</v>
      </c>
      <c r="G252" s="24" t="s">
        <v>254</v>
      </c>
      <c r="H252" s="24" t="s">
        <v>803</v>
      </c>
      <c r="I252" s="24"/>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row>
    <row r="253" spans="1:49" ht="18" customHeight="1" x14ac:dyDescent="0.3">
      <c r="A253" s="1"/>
      <c r="B253" s="21">
        <v>2014</v>
      </c>
      <c r="C253" s="7" t="s">
        <v>599</v>
      </c>
      <c r="D253" s="7">
        <v>2208.75</v>
      </c>
      <c r="E253" s="120" t="s">
        <v>252</v>
      </c>
      <c r="F253" s="120" t="s">
        <v>407</v>
      </c>
      <c r="G253" s="24" t="s">
        <v>254</v>
      </c>
      <c r="H253" s="24" t="s">
        <v>803</v>
      </c>
      <c r="I253" s="24"/>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row>
    <row r="254" spans="1:49" ht="18" customHeight="1" x14ac:dyDescent="0.3">
      <c r="A254" s="1"/>
      <c r="B254" s="21">
        <v>1983</v>
      </c>
      <c r="C254" s="7" t="s">
        <v>599</v>
      </c>
      <c r="D254" s="7">
        <v>2244.77</v>
      </c>
      <c r="E254" s="120" t="s">
        <v>670</v>
      </c>
      <c r="F254" s="120" t="s">
        <v>212</v>
      </c>
      <c r="G254" s="24" t="s">
        <v>100</v>
      </c>
      <c r="H254" s="24" t="s">
        <v>672</v>
      </c>
      <c r="I254" s="24"/>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row>
    <row r="255" spans="1:49" ht="18" customHeight="1" x14ac:dyDescent="0.3">
      <c r="A255" s="1"/>
      <c r="B255" s="21">
        <v>2019</v>
      </c>
      <c r="C255" s="7" t="s">
        <v>599</v>
      </c>
      <c r="D255" s="7">
        <v>2160.52</v>
      </c>
      <c r="E255" s="120" t="s">
        <v>234</v>
      </c>
      <c r="F255" s="120" t="s">
        <v>805</v>
      </c>
      <c r="G255" s="24" t="s">
        <v>235</v>
      </c>
      <c r="H255" s="24" t="s">
        <v>680</v>
      </c>
      <c r="I255" s="24"/>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row>
    <row r="256" spans="1:49" ht="18" customHeight="1" x14ac:dyDescent="0.3">
      <c r="A256" s="1"/>
      <c r="B256" s="21">
        <v>2013</v>
      </c>
      <c r="C256" s="7" t="s">
        <v>599</v>
      </c>
      <c r="D256" s="7">
        <v>2197.63</v>
      </c>
      <c r="E256" s="120" t="s">
        <v>268</v>
      </c>
      <c r="F256" s="120" t="s">
        <v>389</v>
      </c>
      <c r="G256" s="24" t="s">
        <v>204</v>
      </c>
      <c r="H256" s="24" t="s">
        <v>654</v>
      </c>
      <c r="I256" s="24"/>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row>
    <row r="257" spans="1:49" ht="18" customHeight="1" x14ac:dyDescent="0.3">
      <c r="A257" s="1"/>
      <c r="B257" s="21">
        <v>2004</v>
      </c>
      <c r="C257" s="7" t="s">
        <v>599</v>
      </c>
      <c r="D257" s="7">
        <v>1905.87</v>
      </c>
      <c r="E257" s="120" t="s">
        <v>806</v>
      </c>
      <c r="F257" s="120" t="s">
        <v>807</v>
      </c>
      <c r="G257" s="24" t="s">
        <v>207</v>
      </c>
      <c r="H257" s="24" t="s">
        <v>799</v>
      </c>
      <c r="I257" s="24"/>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row>
    <row r="258" spans="1:49" ht="18" customHeight="1" x14ac:dyDescent="0.3">
      <c r="A258" s="1"/>
      <c r="B258" s="21">
        <v>2014</v>
      </c>
      <c r="C258" s="7" t="s">
        <v>601</v>
      </c>
      <c r="D258" s="7">
        <v>2267.34</v>
      </c>
      <c r="E258" s="120" t="s">
        <v>774</v>
      </c>
      <c r="F258" s="120" t="s">
        <v>396</v>
      </c>
      <c r="G258" s="24" t="s">
        <v>204</v>
      </c>
      <c r="H258" s="24" t="s">
        <v>654</v>
      </c>
      <c r="I258" s="24"/>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row>
    <row r="259" spans="1:49" ht="18" customHeight="1" x14ac:dyDescent="0.3">
      <c r="A259" s="1"/>
      <c r="B259" s="21">
        <v>2013</v>
      </c>
      <c r="C259" s="7" t="s">
        <v>599</v>
      </c>
      <c r="D259" s="7">
        <v>2127.42</v>
      </c>
      <c r="E259" s="120" t="s">
        <v>670</v>
      </c>
      <c r="F259" s="120" t="s">
        <v>387</v>
      </c>
      <c r="G259" s="24" t="s">
        <v>100</v>
      </c>
      <c r="H259" s="24" t="s">
        <v>672</v>
      </c>
      <c r="I259" s="24"/>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row>
    <row r="260" spans="1:49" ht="18" customHeight="1" x14ac:dyDescent="0.3">
      <c r="A260" s="1"/>
      <c r="B260" s="21">
        <v>2014</v>
      </c>
      <c r="C260" s="7" t="s">
        <v>599</v>
      </c>
      <c r="D260" s="7">
        <v>2084.46</v>
      </c>
      <c r="E260" s="120" t="s">
        <v>252</v>
      </c>
      <c r="F260" s="120" t="s">
        <v>808</v>
      </c>
      <c r="G260" s="24" t="s">
        <v>254</v>
      </c>
      <c r="H260" s="24" t="s">
        <v>803</v>
      </c>
      <c r="I260" s="24"/>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row>
    <row r="261" spans="1:49" ht="18" customHeight="1" x14ac:dyDescent="0.3">
      <c r="A261" s="1"/>
      <c r="B261" s="21">
        <v>1981</v>
      </c>
      <c r="C261" s="7" t="s">
        <v>599</v>
      </c>
      <c r="D261" s="7">
        <v>2141.21</v>
      </c>
      <c r="E261" s="120" t="s">
        <v>469</v>
      </c>
      <c r="F261" s="120" t="s">
        <v>809</v>
      </c>
      <c r="G261" s="24" t="s">
        <v>207</v>
      </c>
      <c r="H261" s="24" t="s">
        <v>799</v>
      </c>
      <c r="I261" s="24"/>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row>
    <row r="262" spans="1:49" ht="18" customHeight="1" x14ac:dyDescent="0.3">
      <c r="A262" s="1"/>
      <c r="B262" s="21">
        <v>2013</v>
      </c>
      <c r="C262" s="7" t="s">
        <v>599</v>
      </c>
      <c r="D262" s="7">
        <v>2201.29</v>
      </c>
      <c r="E262" s="120" t="s">
        <v>381</v>
      </c>
      <c r="F262" s="120" t="s">
        <v>810</v>
      </c>
      <c r="G262" s="24" t="s">
        <v>204</v>
      </c>
      <c r="H262" s="24" t="s">
        <v>654</v>
      </c>
      <c r="I262" s="24"/>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row>
    <row r="263" spans="1:49" ht="18" customHeight="1" x14ac:dyDescent="0.3">
      <c r="A263" s="1"/>
      <c r="B263" s="21">
        <v>2000</v>
      </c>
      <c r="C263" s="7" t="s">
        <v>599</v>
      </c>
      <c r="D263" s="7">
        <v>1992.6</v>
      </c>
      <c r="E263" s="120" t="s">
        <v>469</v>
      </c>
      <c r="F263" s="120" t="s">
        <v>248</v>
      </c>
      <c r="G263" s="24" t="s">
        <v>207</v>
      </c>
      <c r="H263" s="24" t="s">
        <v>799</v>
      </c>
      <c r="I263" s="24"/>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row>
    <row r="264" spans="1:49" ht="18" customHeight="1" x14ac:dyDescent="0.3">
      <c r="A264" s="1"/>
      <c r="B264" s="21">
        <v>2019</v>
      </c>
      <c r="C264" s="7" t="s">
        <v>599</v>
      </c>
      <c r="D264" s="7">
        <v>2158.9699999999998</v>
      </c>
      <c r="E264" s="120" t="s">
        <v>424</v>
      </c>
      <c r="F264" s="120" t="s">
        <v>811</v>
      </c>
      <c r="G264" s="24" t="s">
        <v>231</v>
      </c>
      <c r="H264" s="24" t="s">
        <v>710</v>
      </c>
      <c r="I264" s="24"/>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row>
    <row r="265" spans="1:49" ht="18" customHeight="1" x14ac:dyDescent="0.3">
      <c r="A265" s="1"/>
      <c r="B265" s="21">
        <v>1983</v>
      </c>
      <c r="C265" s="7" t="s">
        <v>599</v>
      </c>
      <c r="D265" s="7">
        <v>3160.0499999999997</v>
      </c>
      <c r="E265" s="120" t="s">
        <v>670</v>
      </c>
      <c r="F265" s="120" t="s">
        <v>213</v>
      </c>
      <c r="G265" s="24" t="s">
        <v>100</v>
      </c>
      <c r="H265" s="24" t="s">
        <v>672</v>
      </c>
      <c r="I265" s="24"/>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row>
    <row r="266" spans="1:49" ht="18" customHeight="1" x14ac:dyDescent="0.3">
      <c r="A266" s="1"/>
      <c r="B266" s="21">
        <v>2013</v>
      </c>
      <c r="C266" s="7" t="s">
        <v>599</v>
      </c>
      <c r="D266" s="7">
        <v>2119.85</v>
      </c>
      <c r="E266" s="120" t="s">
        <v>469</v>
      </c>
      <c r="F266" s="120" t="s">
        <v>386</v>
      </c>
      <c r="G266" s="24" t="s">
        <v>207</v>
      </c>
      <c r="H266" s="24" t="s">
        <v>799</v>
      </c>
      <c r="I266" s="24"/>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row>
    <row r="267" spans="1:49" ht="18" customHeight="1" x14ac:dyDescent="0.3">
      <c r="A267" s="1"/>
      <c r="B267" s="21">
        <v>2006</v>
      </c>
      <c r="C267" s="7" t="s">
        <v>599</v>
      </c>
      <c r="D267" s="7">
        <v>1382</v>
      </c>
      <c r="E267" s="120" t="s">
        <v>200</v>
      </c>
      <c r="F267" s="120" t="s">
        <v>812</v>
      </c>
      <c r="G267" s="24" t="s">
        <v>201</v>
      </c>
      <c r="H267" s="24" t="s">
        <v>200</v>
      </c>
      <c r="I267" s="24"/>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row>
    <row r="268" spans="1:49" ht="18" customHeight="1" x14ac:dyDescent="0.3">
      <c r="A268" s="1"/>
      <c r="B268" s="21">
        <v>2012</v>
      </c>
      <c r="C268" s="7" t="s">
        <v>599</v>
      </c>
      <c r="D268" s="7">
        <v>1950.75</v>
      </c>
      <c r="E268" s="120" t="s">
        <v>709</v>
      </c>
      <c r="F268" s="120" t="s">
        <v>362</v>
      </c>
      <c r="G268" s="24" t="s">
        <v>231</v>
      </c>
      <c r="H268" s="24" t="s">
        <v>710</v>
      </c>
      <c r="I268" s="24"/>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row>
    <row r="269" spans="1:49" ht="18" customHeight="1" x14ac:dyDescent="0.3">
      <c r="A269" s="1"/>
      <c r="B269" s="21">
        <v>2019</v>
      </c>
      <c r="C269" s="7" t="s">
        <v>599</v>
      </c>
      <c r="D269" s="7">
        <v>2239.89</v>
      </c>
      <c r="E269" s="120" t="s">
        <v>252</v>
      </c>
      <c r="F269" s="120" t="s">
        <v>813</v>
      </c>
      <c r="G269" s="24" t="s">
        <v>254</v>
      </c>
      <c r="H269" s="24" t="s">
        <v>803</v>
      </c>
      <c r="I269" s="24"/>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row>
    <row r="270" spans="1:49" ht="18" customHeight="1" x14ac:dyDescent="0.3">
      <c r="A270" s="1"/>
      <c r="B270" s="21">
        <v>2006</v>
      </c>
      <c r="C270" s="7" t="s">
        <v>599</v>
      </c>
      <c r="D270" s="7">
        <v>1021.77</v>
      </c>
      <c r="E270" s="120" t="s">
        <v>192</v>
      </c>
      <c r="F270" s="120" t="s">
        <v>302</v>
      </c>
      <c r="G270" s="24" t="s">
        <v>194</v>
      </c>
      <c r="H270" s="24" t="s">
        <v>192</v>
      </c>
      <c r="I270" s="24"/>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row>
    <row r="271" spans="1:49" ht="18" customHeight="1" x14ac:dyDescent="0.3">
      <c r="A271" s="1"/>
      <c r="B271" s="21">
        <v>2014</v>
      </c>
      <c r="C271" s="7" t="s">
        <v>599</v>
      </c>
      <c r="D271" s="7">
        <v>1591.18</v>
      </c>
      <c r="E271" s="120" t="s">
        <v>814</v>
      </c>
      <c r="F271" s="120" t="s">
        <v>815</v>
      </c>
      <c r="G271" s="24" t="s">
        <v>231</v>
      </c>
      <c r="H271" s="24" t="s">
        <v>710</v>
      </c>
      <c r="I271" s="24"/>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row>
    <row r="272" spans="1:49" ht="18" customHeight="1" x14ac:dyDescent="0.3">
      <c r="A272" s="1"/>
      <c r="B272" s="21">
        <v>2013</v>
      </c>
      <c r="C272" s="7" t="s">
        <v>599</v>
      </c>
      <c r="D272" s="7">
        <v>2020.36</v>
      </c>
      <c r="E272" s="120" t="s">
        <v>380</v>
      </c>
      <c r="F272" s="120" t="s">
        <v>816</v>
      </c>
      <c r="G272" s="24" t="s">
        <v>231</v>
      </c>
      <c r="H272" s="24" t="s">
        <v>710</v>
      </c>
      <c r="I272" s="24"/>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row>
    <row r="273" spans="1:49" ht="18" customHeight="1" x14ac:dyDescent="0.3">
      <c r="A273" s="1"/>
      <c r="B273" s="21">
        <v>1997</v>
      </c>
      <c r="C273" s="7" t="s">
        <v>599</v>
      </c>
      <c r="D273" s="7">
        <v>2063.77</v>
      </c>
      <c r="E273" s="120" t="s">
        <v>670</v>
      </c>
      <c r="F273" s="120" t="s">
        <v>817</v>
      </c>
      <c r="G273" s="24" t="s">
        <v>100</v>
      </c>
      <c r="H273" s="24" t="s">
        <v>672</v>
      </c>
      <c r="I273" s="24"/>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row>
    <row r="274" spans="1:49" ht="18" customHeight="1" x14ac:dyDescent="0.3">
      <c r="A274" s="1"/>
      <c r="B274" s="21">
        <v>2013</v>
      </c>
      <c r="C274" s="7" t="s">
        <v>599</v>
      </c>
      <c r="D274" s="7">
        <v>2172.31</v>
      </c>
      <c r="E274" s="120" t="s">
        <v>818</v>
      </c>
      <c r="F274" s="120" t="s">
        <v>391</v>
      </c>
      <c r="G274" s="24" t="s">
        <v>207</v>
      </c>
      <c r="H274" s="24" t="s">
        <v>799</v>
      </c>
      <c r="I274" s="24"/>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row>
    <row r="275" spans="1:49" ht="18" customHeight="1" x14ac:dyDescent="0.3">
      <c r="A275" s="1"/>
      <c r="B275" s="21">
        <v>2000</v>
      </c>
      <c r="C275" s="7" t="s">
        <v>599</v>
      </c>
      <c r="D275" s="7">
        <v>1801.54</v>
      </c>
      <c r="E275" s="120" t="s">
        <v>670</v>
      </c>
      <c r="F275" s="120" t="s">
        <v>251</v>
      </c>
      <c r="G275" s="24" t="s">
        <v>100</v>
      </c>
      <c r="H275" s="24" t="s">
        <v>672</v>
      </c>
      <c r="I275" s="24"/>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row>
    <row r="276" spans="1:49" ht="18" customHeight="1" x14ac:dyDescent="0.3">
      <c r="A276" s="1"/>
      <c r="B276" s="21">
        <v>2015</v>
      </c>
      <c r="C276" s="7" t="s">
        <v>599</v>
      </c>
      <c r="D276" s="7">
        <v>1980.12</v>
      </c>
      <c r="E276" s="120" t="s">
        <v>410</v>
      </c>
      <c r="F276" s="120" t="s">
        <v>819</v>
      </c>
      <c r="G276" s="24" t="s">
        <v>411</v>
      </c>
      <c r="H276" s="24" t="s">
        <v>820</v>
      </c>
      <c r="I276" s="24"/>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row>
    <row r="277" spans="1:49" ht="18" customHeight="1" x14ac:dyDescent="0.3">
      <c r="A277" s="1"/>
      <c r="B277" s="21">
        <v>2014</v>
      </c>
      <c r="C277" s="7" t="s">
        <v>599</v>
      </c>
      <c r="D277" s="7">
        <v>1001.58</v>
      </c>
      <c r="E277" s="120" t="s">
        <v>401</v>
      </c>
      <c r="F277" s="120" t="s">
        <v>821</v>
      </c>
      <c r="G277" s="24" t="s">
        <v>207</v>
      </c>
      <c r="H277" s="24" t="s">
        <v>799</v>
      </c>
      <c r="I277" s="24"/>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row>
    <row r="278" spans="1:49" ht="18" customHeight="1" x14ac:dyDescent="0.3">
      <c r="A278" s="1"/>
      <c r="B278" s="21">
        <v>1997</v>
      </c>
      <c r="C278" s="7" t="s">
        <v>599</v>
      </c>
      <c r="D278" s="7">
        <v>2029.5200000000002</v>
      </c>
      <c r="E278" s="120" t="s">
        <v>218</v>
      </c>
      <c r="F278" s="120" t="s">
        <v>239</v>
      </c>
      <c r="G278" s="24" t="s">
        <v>220</v>
      </c>
      <c r="H278" s="24" t="s">
        <v>666</v>
      </c>
      <c r="I278" s="24"/>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row>
    <row r="279" spans="1:49" ht="18" customHeight="1" x14ac:dyDescent="0.3">
      <c r="A279" s="1"/>
      <c r="B279" s="21">
        <v>2012</v>
      </c>
      <c r="C279" s="7" t="s">
        <v>599</v>
      </c>
      <c r="D279" s="7">
        <v>1726.79</v>
      </c>
      <c r="E279" s="120" t="s">
        <v>218</v>
      </c>
      <c r="F279" s="120" t="s">
        <v>822</v>
      </c>
      <c r="G279" s="24" t="s">
        <v>220</v>
      </c>
      <c r="H279" s="24" t="s">
        <v>666</v>
      </c>
      <c r="I279" s="24"/>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row>
    <row r="280" spans="1:49" ht="18" customHeight="1" x14ac:dyDescent="0.3">
      <c r="A280" s="1"/>
      <c r="B280" s="21">
        <v>2007</v>
      </c>
      <c r="C280" s="7" t="s">
        <v>601</v>
      </c>
      <c r="D280" s="7">
        <v>1950.99</v>
      </c>
      <c r="E280" s="120" t="s">
        <v>250</v>
      </c>
      <c r="F280" s="120" t="s">
        <v>823</v>
      </c>
      <c r="G280" s="24" t="s">
        <v>217</v>
      </c>
      <c r="H280" s="24" t="s">
        <v>648</v>
      </c>
      <c r="I280" s="24"/>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row>
    <row r="281" spans="1:49" ht="18" customHeight="1" x14ac:dyDescent="0.3">
      <c r="A281" s="1"/>
      <c r="B281" s="21">
        <v>2014</v>
      </c>
      <c r="C281" s="7" t="s">
        <v>599</v>
      </c>
      <c r="D281" s="7">
        <v>1029.96</v>
      </c>
      <c r="E281" s="120" t="s">
        <v>824</v>
      </c>
      <c r="F281" s="120" t="s">
        <v>825</v>
      </c>
      <c r="G281" s="24" t="s">
        <v>382</v>
      </c>
      <c r="H281" s="24" t="s">
        <v>826</v>
      </c>
      <c r="I281" s="24"/>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row>
    <row r="282" spans="1:49" ht="18" customHeight="1" x14ac:dyDescent="0.3">
      <c r="A282" s="1"/>
      <c r="B282" s="21">
        <v>2012</v>
      </c>
      <c r="C282" s="7" t="s">
        <v>599</v>
      </c>
      <c r="D282" s="7">
        <v>2042.29</v>
      </c>
      <c r="E282" s="120" t="s">
        <v>202</v>
      </c>
      <c r="F282" s="120" t="s">
        <v>365</v>
      </c>
      <c r="G282" s="24" t="s">
        <v>204</v>
      </c>
      <c r="H282" s="24" t="s">
        <v>654</v>
      </c>
      <c r="I282" s="24"/>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row>
    <row r="283" spans="1:49" ht="18" customHeight="1" x14ac:dyDescent="0.3">
      <c r="A283" s="1"/>
      <c r="B283" s="21">
        <v>2005</v>
      </c>
      <c r="C283" s="7" t="s">
        <v>599</v>
      </c>
      <c r="D283" s="7">
        <v>2639.1800000000003</v>
      </c>
      <c r="E283" s="120" t="s">
        <v>278</v>
      </c>
      <c r="F283" s="120" t="s">
        <v>827</v>
      </c>
      <c r="G283" s="24" t="s">
        <v>279</v>
      </c>
      <c r="H283" s="24" t="s">
        <v>770</v>
      </c>
      <c r="I283" s="24"/>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row>
    <row r="284" spans="1:49" ht="18" customHeight="1" x14ac:dyDescent="0.3">
      <c r="A284" s="1"/>
      <c r="B284" s="21">
        <v>1995</v>
      </c>
      <c r="C284" s="7" t="s">
        <v>601</v>
      </c>
      <c r="D284" s="7">
        <v>2619.33</v>
      </c>
      <c r="E284" s="120" t="s">
        <v>236</v>
      </c>
      <c r="F284" s="120" t="s">
        <v>828</v>
      </c>
      <c r="G284" s="24" t="s">
        <v>201</v>
      </c>
      <c r="H284" s="24" t="s">
        <v>669</v>
      </c>
      <c r="I284" s="24"/>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row>
    <row r="285" spans="1:49" ht="18" customHeight="1" x14ac:dyDescent="0.3">
      <c r="A285" s="1"/>
      <c r="B285" s="21">
        <v>2008</v>
      </c>
      <c r="C285" s="7" t="s">
        <v>599</v>
      </c>
      <c r="D285" s="7">
        <v>1761.23</v>
      </c>
      <c r="E285" s="120" t="s">
        <v>236</v>
      </c>
      <c r="F285" s="120" t="s">
        <v>325</v>
      </c>
      <c r="G285" s="24" t="s">
        <v>201</v>
      </c>
      <c r="H285" s="24" t="s">
        <v>669</v>
      </c>
      <c r="I285" s="24"/>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row>
    <row r="286" spans="1:49" ht="18" customHeight="1" x14ac:dyDescent="0.3">
      <c r="A286" s="1"/>
      <c r="B286" s="21">
        <v>2007</v>
      </c>
      <c r="C286" s="7" t="s">
        <v>599</v>
      </c>
      <c r="D286" s="7">
        <v>1714.31</v>
      </c>
      <c r="E286" s="120" t="s">
        <v>303</v>
      </c>
      <c r="F286" s="120" t="s">
        <v>304</v>
      </c>
      <c r="G286" s="24" t="s">
        <v>276</v>
      </c>
      <c r="H286" s="24" t="s">
        <v>625</v>
      </c>
      <c r="I286" s="24"/>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row>
    <row r="287" spans="1:49" ht="18" customHeight="1" x14ac:dyDescent="0.3">
      <c r="A287" s="1"/>
      <c r="B287" s="21">
        <v>2019</v>
      </c>
      <c r="C287" s="7" t="s">
        <v>599</v>
      </c>
      <c r="D287" s="7">
        <v>2251.2199999999998</v>
      </c>
      <c r="E287" s="120" t="s">
        <v>422</v>
      </c>
      <c r="F287" s="120" t="s">
        <v>423</v>
      </c>
      <c r="G287" s="24" t="s">
        <v>220</v>
      </c>
      <c r="H287" s="24" t="s">
        <v>666</v>
      </c>
      <c r="I287" s="24"/>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row>
    <row r="288" spans="1:49" ht="18" customHeight="1" x14ac:dyDescent="0.3">
      <c r="A288" s="1"/>
      <c r="B288" s="21">
        <v>2012</v>
      </c>
      <c r="C288" s="7" t="s">
        <v>599</v>
      </c>
      <c r="D288" s="7">
        <v>1825.57</v>
      </c>
      <c r="E288" s="120" t="s">
        <v>274</v>
      </c>
      <c r="F288" s="120" t="s">
        <v>375</v>
      </c>
      <c r="G288" s="24" t="s">
        <v>276</v>
      </c>
      <c r="H288" s="24" t="s">
        <v>625</v>
      </c>
      <c r="I288" s="24"/>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row>
    <row r="289" spans="1:49" ht="18" customHeight="1" x14ac:dyDescent="0.3">
      <c r="A289" s="1"/>
      <c r="B289" s="21">
        <v>1994</v>
      </c>
      <c r="C289" s="7" t="s">
        <v>601</v>
      </c>
      <c r="D289" s="7">
        <v>2452.0299999999997</v>
      </c>
      <c r="E289" s="120" t="s">
        <v>233</v>
      </c>
      <c r="F289" s="120" t="s">
        <v>829</v>
      </c>
      <c r="G289" s="24" t="s">
        <v>201</v>
      </c>
      <c r="H289" s="24" t="s">
        <v>669</v>
      </c>
      <c r="I289" s="24"/>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row>
    <row r="290" spans="1:49" ht="18" customHeight="1" x14ac:dyDescent="0.3">
      <c r="A290" s="1"/>
      <c r="B290" s="21">
        <v>2014</v>
      </c>
      <c r="C290" s="7" t="s">
        <v>599</v>
      </c>
      <c r="D290" s="7">
        <v>1732.21</v>
      </c>
      <c r="E290" s="120" t="s">
        <v>399</v>
      </c>
      <c r="F290" s="120" t="s">
        <v>830</v>
      </c>
      <c r="G290" s="24" t="s">
        <v>400</v>
      </c>
      <c r="H290" s="24" t="s">
        <v>831</v>
      </c>
      <c r="I290" s="24"/>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row>
    <row r="291" spans="1:49" ht="18" customHeight="1" x14ac:dyDescent="0.3">
      <c r="A291" s="1"/>
      <c r="B291" s="21">
        <v>2011</v>
      </c>
      <c r="C291" s="7" t="s">
        <v>599</v>
      </c>
      <c r="D291" s="7">
        <v>1929.35</v>
      </c>
      <c r="E291" s="120" t="s">
        <v>832</v>
      </c>
      <c r="F291" s="120" t="s">
        <v>337</v>
      </c>
      <c r="G291" s="24" t="s">
        <v>201</v>
      </c>
      <c r="H291" s="24" t="s">
        <v>669</v>
      </c>
      <c r="I291" s="24"/>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row>
    <row r="292" spans="1:49" ht="18" customHeight="1" x14ac:dyDescent="0.3">
      <c r="A292" s="1"/>
      <c r="B292" s="21">
        <v>1991</v>
      </c>
      <c r="C292" s="7" t="s">
        <v>599</v>
      </c>
      <c r="D292" s="7">
        <v>2031.26</v>
      </c>
      <c r="E292" s="120" t="s">
        <v>200</v>
      </c>
      <c r="F292" s="120" t="s">
        <v>833</v>
      </c>
      <c r="G292" s="24" t="s">
        <v>201</v>
      </c>
      <c r="H292" s="24" t="s">
        <v>200</v>
      </c>
      <c r="I292" s="24"/>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row>
    <row r="293" spans="1:49" ht="18" customHeight="1" x14ac:dyDescent="0.3">
      <c r="A293" s="1"/>
      <c r="B293" s="21">
        <v>2010</v>
      </c>
      <c r="C293" s="7" t="s">
        <v>599</v>
      </c>
      <c r="D293" s="7">
        <v>1701.31</v>
      </c>
      <c r="E293" s="120" t="s">
        <v>215</v>
      </c>
      <c r="F293" s="120" t="s">
        <v>345</v>
      </c>
      <c r="G293" s="24" t="s">
        <v>217</v>
      </c>
      <c r="H293" s="24" t="s">
        <v>648</v>
      </c>
      <c r="I293" s="24"/>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row>
    <row r="294" spans="1:49" ht="18" customHeight="1" x14ac:dyDescent="0.3">
      <c r="A294" s="1"/>
      <c r="B294" s="21">
        <v>2021</v>
      </c>
      <c r="C294" s="7" t="s">
        <v>599</v>
      </c>
      <c r="D294" s="7">
        <v>2416.0699999999997</v>
      </c>
      <c r="E294" s="120" t="s">
        <v>200</v>
      </c>
      <c r="F294" s="120" t="s">
        <v>834</v>
      </c>
      <c r="G294" s="24" t="s">
        <v>201</v>
      </c>
      <c r="H294" s="24" t="s">
        <v>441</v>
      </c>
      <c r="I294" s="24"/>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row>
    <row r="295" spans="1:49" ht="18" customHeight="1" x14ac:dyDescent="0.3">
      <c r="A295" s="1"/>
      <c r="B295" s="21">
        <v>2014</v>
      </c>
      <c r="C295" s="7" t="s">
        <v>599</v>
      </c>
      <c r="D295" s="7">
        <v>2149.44</v>
      </c>
      <c r="E295" s="120" t="s">
        <v>403</v>
      </c>
      <c r="F295" s="120" t="s">
        <v>404</v>
      </c>
      <c r="G295" s="24" t="s">
        <v>405</v>
      </c>
      <c r="H295" s="24" t="s">
        <v>835</v>
      </c>
      <c r="I295" s="24"/>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row>
    <row r="296" spans="1:49" ht="18" customHeight="1" x14ac:dyDescent="0.3">
      <c r="A296" s="1"/>
      <c r="B296" s="21">
        <v>2015</v>
      </c>
      <c r="C296" s="7" t="s">
        <v>601</v>
      </c>
      <c r="D296" s="7">
        <v>2133.86</v>
      </c>
      <c r="E296" s="120" t="s">
        <v>233</v>
      </c>
      <c r="F296" s="120" t="s">
        <v>233</v>
      </c>
      <c r="G296" s="24" t="s">
        <v>201</v>
      </c>
      <c r="H296" s="24" t="s">
        <v>669</v>
      </c>
      <c r="I296" s="24"/>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row>
    <row r="297" spans="1:49" ht="18" customHeight="1" x14ac:dyDescent="0.3">
      <c r="A297" s="1"/>
      <c r="B297" s="21">
        <v>2016</v>
      </c>
      <c r="C297" s="7" t="s">
        <v>599</v>
      </c>
      <c r="D297" s="7">
        <v>2250.17</v>
      </c>
      <c r="E297" s="120" t="s">
        <v>233</v>
      </c>
      <c r="F297" s="120" t="s">
        <v>418</v>
      </c>
      <c r="G297" s="24" t="s">
        <v>201</v>
      </c>
      <c r="H297" s="24" t="s">
        <v>669</v>
      </c>
      <c r="I297" s="24"/>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row>
    <row r="298" spans="1:49" ht="18" customHeight="1" x14ac:dyDescent="0.3">
      <c r="A298" s="1"/>
      <c r="B298" s="21">
        <v>2021</v>
      </c>
      <c r="C298" s="7" t="s">
        <v>599</v>
      </c>
      <c r="D298" s="7">
        <v>1891.61</v>
      </c>
      <c r="E298" s="120" t="s">
        <v>469</v>
      </c>
      <c r="F298" s="120" t="s">
        <v>836</v>
      </c>
      <c r="G298" s="24" t="s">
        <v>207</v>
      </c>
      <c r="H298" s="24" t="s">
        <v>837</v>
      </c>
      <c r="I298" s="24"/>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row>
    <row r="299" spans="1:49" ht="18" customHeight="1" x14ac:dyDescent="0.3">
      <c r="A299" s="1"/>
      <c r="B299" s="21">
        <v>2021</v>
      </c>
      <c r="C299" s="7" t="s">
        <v>599</v>
      </c>
      <c r="D299" s="7">
        <v>1184.43</v>
      </c>
      <c r="E299" s="120" t="s">
        <v>444</v>
      </c>
      <c r="F299" s="120" t="s">
        <v>838</v>
      </c>
      <c r="G299" s="24" t="s">
        <v>246</v>
      </c>
      <c r="H299" s="24" t="s">
        <v>839</v>
      </c>
      <c r="I299" s="24"/>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row>
    <row r="300" spans="1:49" ht="18" customHeight="1" x14ac:dyDescent="0.3">
      <c r="A300" s="1"/>
      <c r="B300" s="21">
        <v>2021</v>
      </c>
      <c r="C300" s="7" t="s">
        <v>599</v>
      </c>
      <c r="D300" s="7">
        <v>1263.22</v>
      </c>
      <c r="E300" s="120" t="s">
        <v>445</v>
      </c>
      <c r="F300" s="120" t="s">
        <v>840</v>
      </c>
      <c r="G300" s="24" t="s">
        <v>244</v>
      </c>
      <c r="H300" s="24" t="s">
        <v>841</v>
      </c>
      <c r="I300" s="24"/>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row>
    <row r="301" spans="1:49" ht="18" customHeight="1" x14ac:dyDescent="0.3">
      <c r="A301" s="1"/>
      <c r="B301" s="21">
        <v>2021</v>
      </c>
      <c r="C301" s="7" t="s">
        <v>599</v>
      </c>
      <c r="D301" s="7">
        <v>1754.07</v>
      </c>
      <c r="E301" s="120" t="s">
        <v>446</v>
      </c>
      <c r="F301" s="120" t="s">
        <v>842</v>
      </c>
      <c r="G301" s="24" t="s">
        <v>276</v>
      </c>
      <c r="H301" s="24" t="s">
        <v>843</v>
      </c>
      <c r="I301" s="24"/>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row>
    <row r="302" spans="1:49" ht="18" customHeight="1" x14ac:dyDescent="0.3">
      <c r="A302" s="1"/>
      <c r="B302" s="21">
        <v>2021</v>
      </c>
      <c r="C302" s="7" t="s">
        <v>599</v>
      </c>
      <c r="D302" s="7">
        <v>1677.19</v>
      </c>
      <c r="E302" s="120" t="s">
        <v>447</v>
      </c>
      <c r="F302" s="120" t="s">
        <v>844</v>
      </c>
      <c r="G302" s="24" t="s">
        <v>312</v>
      </c>
      <c r="H302" s="24" t="s">
        <v>845</v>
      </c>
      <c r="I302" s="24"/>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row>
    <row r="303" spans="1:49" ht="18" customHeight="1" x14ac:dyDescent="0.3">
      <c r="A303" s="1"/>
      <c r="B303" s="21">
        <v>2021</v>
      </c>
      <c r="C303" s="7" t="s">
        <v>599</v>
      </c>
      <c r="D303" s="7">
        <v>2078.19</v>
      </c>
      <c r="E303" s="120" t="s">
        <v>200</v>
      </c>
      <c r="F303" s="120" t="s">
        <v>449</v>
      </c>
      <c r="G303" s="24" t="s">
        <v>201</v>
      </c>
      <c r="H303" s="24" t="s">
        <v>846</v>
      </c>
      <c r="I303" s="24"/>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row>
    <row r="304" spans="1:49" ht="18" customHeight="1" x14ac:dyDescent="0.3">
      <c r="A304" s="1"/>
      <c r="B304" s="21">
        <v>2021</v>
      </c>
      <c r="C304" s="7" t="s">
        <v>599</v>
      </c>
      <c r="D304" s="7">
        <v>1611.64</v>
      </c>
      <c r="E304" s="120" t="s">
        <v>450</v>
      </c>
      <c r="F304" s="120" t="s">
        <v>451</v>
      </c>
      <c r="G304" s="24" t="s">
        <v>231</v>
      </c>
      <c r="H304" s="24" t="s">
        <v>847</v>
      </c>
      <c r="I304" s="24"/>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row>
    <row r="305" spans="1:49" ht="18" customHeight="1" x14ac:dyDescent="0.3">
      <c r="A305" s="1"/>
      <c r="B305" s="21">
        <v>2021</v>
      </c>
      <c r="C305" s="7" t="s">
        <v>599</v>
      </c>
      <c r="D305" s="7">
        <v>1385.42</v>
      </c>
      <c r="E305" s="120" t="s">
        <v>343</v>
      </c>
      <c r="F305" s="120" t="s">
        <v>848</v>
      </c>
      <c r="G305" s="24" t="s">
        <v>199</v>
      </c>
      <c r="H305" s="24" t="s">
        <v>849</v>
      </c>
      <c r="I305" s="24"/>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row>
    <row r="306" spans="1:49" ht="18" customHeight="1" x14ac:dyDescent="0.3">
      <c r="A306" s="1"/>
      <c r="B306" s="21">
        <v>2021</v>
      </c>
      <c r="C306" s="7" t="s">
        <v>599</v>
      </c>
      <c r="D306" s="7">
        <v>1821.26</v>
      </c>
      <c r="E306" s="120" t="s">
        <v>453</v>
      </c>
      <c r="F306" s="120" t="s">
        <v>454</v>
      </c>
      <c r="G306" s="24" t="s">
        <v>290</v>
      </c>
      <c r="H306" s="24" t="s">
        <v>850</v>
      </c>
      <c r="I306" s="24"/>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row>
    <row r="307" spans="1:49" ht="18" customHeight="1" x14ac:dyDescent="0.3">
      <c r="A307" s="1"/>
      <c r="B307" s="21">
        <v>2021</v>
      </c>
      <c r="C307" s="7" t="s">
        <v>599</v>
      </c>
      <c r="D307" s="7">
        <v>1206</v>
      </c>
      <c r="E307" s="120" t="s">
        <v>452</v>
      </c>
      <c r="F307" s="120" t="s">
        <v>851</v>
      </c>
      <c r="G307" s="24" t="s">
        <v>217</v>
      </c>
      <c r="H307" s="24" t="s">
        <v>852</v>
      </c>
      <c r="I307" s="24"/>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row>
    <row r="308" spans="1:49" ht="18" customHeight="1" x14ac:dyDescent="0.3">
      <c r="A308" s="1"/>
      <c r="B308" s="21">
        <v>2021</v>
      </c>
      <c r="C308" s="7" t="s">
        <v>599</v>
      </c>
      <c r="D308" s="7">
        <v>1158.1500000000001</v>
      </c>
      <c r="E308" s="120" t="s">
        <v>853</v>
      </c>
      <c r="F308" s="120" t="s">
        <v>456</v>
      </c>
      <c r="G308" s="24" t="s">
        <v>201</v>
      </c>
      <c r="H308" s="24" t="s">
        <v>854</v>
      </c>
      <c r="I308" s="24"/>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row>
    <row r="309" spans="1:49" ht="18" customHeight="1" x14ac:dyDescent="0.3">
      <c r="A309" s="1"/>
      <c r="B309" s="21">
        <v>2021</v>
      </c>
      <c r="C309" s="7" t="s">
        <v>599</v>
      </c>
      <c r="D309" s="7">
        <v>1737.61</v>
      </c>
      <c r="E309" s="120" t="s">
        <v>455</v>
      </c>
      <c r="F309" s="120" t="s">
        <v>855</v>
      </c>
      <c r="G309" s="24" t="s">
        <v>194</v>
      </c>
      <c r="H309" s="24" t="s">
        <v>856</v>
      </c>
      <c r="I309" s="24"/>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row>
    <row r="310" spans="1:49" ht="18" customHeight="1" x14ac:dyDescent="0.3">
      <c r="A310" s="1"/>
      <c r="B310" s="21">
        <v>2021</v>
      </c>
      <c r="C310" s="7" t="s">
        <v>599</v>
      </c>
      <c r="D310" s="7">
        <v>1580.82</v>
      </c>
      <c r="E310" s="120" t="s">
        <v>200</v>
      </c>
      <c r="F310" s="120" t="s">
        <v>448</v>
      </c>
      <c r="G310" s="24" t="s">
        <v>201</v>
      </c>
      <c r="H310" s="24" t="s">
        <v>846</v>
      </c>
      <c r="I310" s="24"/>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row>
    <row r="311" spans="1:49" ht="18" customHeight="1" x14ac:dyDescent="0.3">
      <c r="A311" s="1"/>
      <c r="B311" s="21">
        <v>2021</v>
      </c>
      <c r="C311" s="7" t="s">
        <v>599</v>
      </c>
      <c r="D311" s="7">
        <v>1394.78</v>
      </c>
      <c r="E311" s="120" t="s">
        <v>458</v>
      </c>
      <c r="F311" s="120" t="s">
        <v>459</v>
      </c>
      <c r="G311" s="24" t="s">
        <v>411</v>
      </c>
      <c r="H311" s="24" t="s">
        <v>857</v>
      </c>
      <c r="I311" s="24"/>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row>
    <row r="312" spans="1:49" ht="18" customHeight="1" x14ac:dyDescent="0.3">
      <c r="A312" s="1"/>
      <c r="B312" s="21">
        <v>2021</v>
      </c>
      <c r="C312" s="7" t="s">
        <v>601</v>
      </c>
      <c r="D312" s="7">
        <v>895.09</v>
      </c>
      <c r="E312" s="120" t="s">
        <v>457</v>
      </c>
      <c r="F312" s="120" t="s">
        <v>858</v>
      </c>
      <c r="G312" s="24" t="s">
        <v>194</v>
      </c>
      <c r="H312" s="24" t="s">
        <v>859</v>
      </c>
      <c r="I312" s="24"/>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row>
    <row r="313" spans="1:49" ht="18" customHeight="1" x14ac:dyDescent="0.3">
      <c r="A313" s="1"/>
      <c r="B313" s="21">
        <v>2022</v>
      </c>
      <c r="C313" s="7" t="s">
        <v>599</v>
      </c>
      <c r="D313" s="7">
        <v>1711.42</v>
      </c>
      <c r="E313" s="120" t="s">
        <v>192</v>
      </c>
      <c r="F313" s="120" t="s">
        <v>461</v>
      </c>
      <c r="G313" s="24" t="s">
        <v>194</v>
      </c>
      <c r="H313" s="24" t="s">
        <v>860</v>
      </c>
      <c r="I313" s="24"/>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row>
    <row r="314" spans="1:49" ht="18" customHeight="1" x14ac:dyDescent="0.3">
      <c r="A314" s="1"/>
      <c r="B314" s="21">
        <v>2022</v>
      </c>
      <c r="C314" s="7" t="s">
        <v>599</v>
      </c>
      <c r="D314" s="7">
        <v>1779.43</v>
      </c>
      <c r="E314" s="120" t="s">
        <v>711</v>
      </c>
      <c r="F314" s="120" t="s">
        <v>460</v>
      </c>
      <c r="G314" s="24" t="s">
        <v>197</v>
      </c>
      <c r="H314" s="24" t="s">
        <v>861</v>
      </c>
      <c r="I314" s="24"/>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row>
    <row r="315" spans="1:49" ht="18" customHeight="1" x14ac:dyDescent="0.3">
      <c r="A315" s="1"/>
      <c r="B315" s="21">
        <v>2022</v>
      </c>
      <c r="C315" s="7" t="s">
        <v>599</v>
      </c>
      <c r="D315" s="7">
        <v>1609.07</v>
      </c>
      <c r="E315" s="120" t="s">
        <v>462</v>
      </c>
      <c r="F315" s="120" t="s">
        <v>463</v>
      </c>
      <c r="G315" s="24" t="s">
        <v>231</v>
      </c>
      <c r="H315" s="24" t="s">
        <v>862</v>
      </c>
      <c r="I315" s="24"/>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row>
    <row r="316" spans="1:49" ht="18" customHeight="1" x14ac:dyDescent="0.3">
      <c r="A316" s="1"/>
      <c r="B316" s="21">
        <v>2022</v>
      </c>
      <c r="C316" s="7" t="s">
        <v>601</v>
      </c>
      <c r="D316" s="7">
        <v>1290.27</v>
      </c>
      <c r="E316" s="120" t="s">
        <v>465</v>
      </c>
      <c r="F316" s="120" t="s">
        <v>863</v>
      </c>
      <c r="G316" s="24" t="s">
        <v>204</v>
      </c>
      <c r="H316" s="24" t="s">
        <v>864</v>
      </c>
      <c r="I316" s="24"/>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row>
    <row r="317" spans="1:49" ht="18" customHeight="1" x14ac:dyDescent="0.3">
      <c r="A317" s="1"/>
      <c r="B317" s="21">
        <v>2022</v>
      </c>
      <c r="C317" s="7" t="s">
        <v>601</v>
      </c>
      <c r="D317" s="7">
        <v>1588.2199999999998</v>
      </c>
      <c r="E317" s="120" t="s">
        <v>402</v>
      </c>
      <c r="F317" s="120" t="s">
        <v>865</v>
      </c>
      <c r="G317" s="24" t="s">
        <v>207</v>
      </c>
      <c r="H317" s="24" t="s">
        <v>866</v>
      </c>
      <c r="I317" s="24"/>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row>
    <row r="318" spans="1:49" ht="18" customHeight="1" x14ac:dyDescent="0.3">
      <c r="A318" s="1"/>
      <c r="B318" s="21">
        <v>2022</v>
      </c>
      <c r="C318" s="7" t="s">
        <v>599</v>
      </c>
      <c r="D318" s="7">
        <v>1545.02</v>
      </c>
      <c r="E318" s="120" t="s">
        <v>466</v>
      </c>
      <c r="F318" s="120" t="s">
        <v>467</v>
      </c>
      <c r="G318" s="24" t="s">
        <v>204</v>
      </c>
      <c r="H318" s="24" t="s">
        <v>867</v>
      </c>
      <c r="I318" s="24"/>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row>
    <row r="319" spans="1:49" ht="18" customHeight="1" x14ac:dyDescent="0.3">
      <c r="A319" s="1"/>
      <c r="B319" s="21">
        <v>2022</v>
      </c>
      <c r="C319" s="7" t="s">
        <v>601</v>
      </c>
      <c r="D319" s="7">
        <v>1520.87</v>
      </c>
      <c r="E319" s="120" t="s">
        <v>464</v>
      </c>
      <c r="F319" s="120" t="s">
        <v>868</v>
      </c>
      <c r="G319" s="24" t="s">
        <v>204</v>
      </c>
      <c r="H319" s="24" t="s">
        <v>869</v>
      </c>
      <c r="I319" s="24"/>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row>
    <row r="320" spans="1:49" ht="18" customHeight="1" x14ac:dyDescent="0.3">
      <c r="A320" s="1"/>
      <c r="B320" s="21">
        <v>2022</v>
      </c>
      <c r="C320" s="7" t="s">
        <v>599</v>
      </c>
      <c r="D320" s="7">
        <v>1652.66</v>
      </c>
      <c r="E320" s="120" t="s">
        <v>198</v>
      </c>
      <c r="F320" s="120" t="s">
        <v>468</v>
      </c>
      <c r="G320" s="24" t="s">
        <v>199</v>
      </c>
      <c r="H320" s="24" t="s">
        <v>870</v>
      </c>
      <c r="I320" s="24"/>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row>
    <row r="321" spans="1:49" ht="18" customHeight="1" x14ac:dyDescent="0.3">
      <c r="A321" s="1"/>
      <c r="B321" s="21">
        <v>2023</v>
      </c>
      <c r="C321" s="7" t="s">
        <v>601</v>
      </c>
      <c r="D321" s="7">
        <v>1220.99</v>
      </c>
      <c r="E321" s="120" t="s">
        <v>871</v>
      </c>
      <c r="F321" s="120" t="s">
        <v>477</v>
      </c>
      <c r="G321" s="24" t="s">
        <v>231</v>
      </c>
      <c r="H321" s="24" t="s">
        <v>872</v>
      </c>
      <c r="I321" s="24"/>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row>
    <row r="322" spans="1:49" ht="18" customHeight="1" x14ac:dyDescent="0.3">
      <c r="A322" s="1"/>
      <c r="B322" s="21">
        <v>2022</v>
      </c>
      <c r="C322" s="7" t="s">
        <v>599</v>
      </c>
      <c r="D322" s="7">
        <v>1606.24</v>
      </c>
      <c r="E322" s="120" t="s">
        <v>471</v>
      </c>
      <c r="F322" s="120" t="s">
        <v>472</v>
      </c>
      <c r="G322" s="24" t="s">
        <v>264</v>
      </c>
      <c r="H322" s="24" t="s">
        <v>873</v>
      </c>
      <c r="I322" s="24"/>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row>
    <row r="323" spans="1:49" ht="18" customHeight="1" x14ac:dyDescent="0.3">
      <c r="A323" s="1"/>
      <c r="B323" s="21">
        <v>2022</v>
      </c>
      <c r="C323" s="7" t="s">
        <v>599</v>
      </c>
      <c r="D323" s="7">
        <v>1437.95</v>
      </c>
      <c r="E323" s="120" t="s">
        <v>192</v>
      </c>
      <c r="F323" s="120" t="s">
        <v>874</v>
      </c>
      <c r="G323" s="24" t="s">
        <v>194</v>
      </c>
      <c r="H323" s="24" t="s">
        <v>860</v>
      </c>
      <c r="I323" s="24"/>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row>
    <row r="324" spans="1:49" ht="18" customHeight="1" x14ac:dyDescent="0.3">
      <c r="A324" s="1"/>
      <c r="B324" s="21">
        <v>2022</v>
      </c>
      <c r="C324" s="7" t="s">
        <v>599</v>
      </c>
      <c r="D324" s="7">
        <v>1370.22</v>
      </c>
      <c r="E324" s="120" t="s">
        <v>469</v>
      </c>
      <c r="F324" s="120" t="s">
        <v>470</v>
      </c>
      <c r="G324" s="24" t="s">
        <v>207</v>
      </c>
      <c r="H324" s="24" t="s">
        <v>875</v>
      </c>
      <c r="I324" s="24"/>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row>
    <row r="325" spans="1:49" ht="18" customHeight="1" x14ac:dyDescent="0.3">
      <c r="A325" s="1"/>
      <c r="B325" s="21">
        <v>2022</v>
      </c>
      <c r="C325" s="7" t="s">
        <v>601</v>
      </c>
      <c r="D325" s="7">
        <v>1385.08</v>
      </c>
      <c r="E325" s="120" t="s">
        <v>474</v>
      </c>
      <c r="F325" s="120" t="s">
        <v>475</v>
      </c>
      <c r="G325" s="24" t="s">
        <v>217</v>
      </c>
      <c r="H325" s="24" t="s">
        <v>876</v>
      </c>
      <c r="I325" s="24"/>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row>
    <row r="326" spans="1:49" ht="18" customHeight="1" x14ac:dyDescent="0.3">
      <c r="A326" s="1"/>
      <c r="B326" s="21">
        <v>2022</v>
      </c>
      <c r="C326" s="7" t="s">
        <v>599</v>
      </c>
      <c r="D326" s="7">
        <v>1458.65</v>
      </c>
      <c r="E326" s="120" t="s">
        <v>287</v>
      </c>
      <c r="F326" s="120" t="s">
        <v>473</v>
      </c>
      <c r="G326" s="24" t="s">
        <v>197</v>
      </c>
      <c r="H326" s="24" t="s">
        <v>877</v>
      </c>
      <c r="I326" s="24"/>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row>
    <row r="327" spans="1:49" ht="18" customHeight="1" x14ac:dyDescent="0.3">
      <c r="A327" s="1"/>
      <c r="B327" s="21">
        <v>2022</v>
      </c>
      <c r="C327" s="7" t="s">
        <v>599</v>
      </c>
      <c r="D327" s="7">
        <v>1172.43</v>
      </c>
      <c r="E327" s="120" t="s">
        <v>200</v>
      </c>
      <c r="F327" s="120" t="s">
        <v>878</v>
      </c>
      <c r="G327" s="24" t="s">
        <v>201</v>
      </c>
      <c r="H327" s="24" t="s">
        <v>879</v>
      </c>
      <c r="I327" s="24"/>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row>
    <row r="328" spans="1:49" ht="18" customHeight="1" x14ac:dyDescent="0.3">
      <c r="A328" s="1"/>
      <c r="B328" s="21">
        <v>2022</v>
      </c>
      <c r="C328" s="7" t="s">
        <v>601</v>
      </c>
      <c r="D328" s="7">
        <v>1439.36</v>
      </c>
      <c r="E328" s="120" t="s">
        <v>192</v>
      </c>
      <c r="F328" s="120" t="s">
        <v>880</v>
      </c>
      <c r="G328" s="24" t="s">
        <v>194</v>
      </c>
      <c r="H328" s="24" t="s">
        <v>860</v>
      </c>
      <c r="I328" s="24"/>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row>
    <row r="329" spans="1:49" ht="18" customHeight="1" x14ac:dyDescent="0.3">
      <c r="A329" s="1"/>
      <c r="B329" s="21">
        <v>2022</v>
      </c>
      <c r="C329" s="7" t="s">
        <v>599</v>
      </c>
      <c r="D329" s="7">
        <v>1436.68</v>
      </c>
      <c r="E329" s="120" t="s">
        <v>881</v>
      </c>
      <c r="F329" s="120" t="s">
        <v>882</v>
      </c>
      <c r="G329" s="24" t="s">
        <v>194</v>
      </c>
      <c r="H329" s="24" t="s">
        <v>883</v>
      </c>
      <c r="I329" s="24"/>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row>
    <row r="330" spans="1:49" ht="18" customHeight="1" x14ac:dyDescent="0.3">
      <c r="A330" s="1"/>
      <c r="B330" s="21">
        <v>2022</v>
      </c>
      <c r="C330" s="7" t="s">
        <v>599</v>
      </c>
      <c r="D330" s="7">
        <v>1477.24</v>
      </c>
      <c r="E330" s="120" t="s">
        <v>200</v>
      </c>
      <c r="F330" s="120" t="s">
        <v>476</v>
      </c>
      <c r="G330" s="24" t="s">
        <v>201</v>
      </c>
      <c r="H330" s="24" t="s">
        <v>846</v>
      </c>
      <c r="I330" s="24"/>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row>
    <row r="331" spans="1:49" ht="18" customHeight="1" x14ac:dyDescent="0.3">
      <c r="A331" s="1"/>
      <c r="B331" s="21">
        <v>2023</v>
      </c>
      <c r="C331" s="7" t="s">
        <v>599</v>
      </c>
      <c r="D331" s="7">
        <v>1834.71</v>
      </c>
      <c r="E331" s="120" t="s">
        <v>478</v>
      </c>
      <c r="F331" s="120" t="s">
        <v>479</v>
      </c>
      <c r="G331" s="24" t="s">
        <v>235</v>
      </c>
      <c r="H331" s="24" t="s">
        <v>884</v>
      </c>
      <c r="I331" s="24"/>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row>
    <row r="332" spans="1:49" ht="18" customHeight="1" x14ac:dyDescent="0.3">
      <c r="A332" s="1"/>
      <c r="B332" s="21">
        <v>2023</v>
      </c>
      <c r="C332" s="7" t="s">
        <v>599</v>
      </c>
      <c r="D332" s="7">
        <v>1327.64</v>
      </c>
      <c r="E332" s="120" t="s">
        <v>480</v>
      </c>
      <c r="F332" s="120" t="s">
        <v>481</v>
      </c>
      <c r="G332" s="24" t="s">
        <v>220</v>
      </c>
      <c r="H332" s="24" t="s">
        <v>885</v>
      </c>
      <c r="I332" s="24"/>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row>
    <row r="333" spans="1:49" ht="18" customHeight="1" x14ac:dyDescent="0.3">
      <c r="A333" s="1"/>
      <c r="B333" s="21">
        <v>2024</v>
      </c>
      <c r="C333" s="7" t="s">
        <v>599</v>
      </c>
      <c r="D333" s="7">
        <v>1356.5</v>
      </c>
      <c r="E333" s="120" t="s">
        <v>886</v>
      </c>
      <c r="F333" s="120" t="s">
        <v>887</v>
      </c>
      <c r="G333" s="24" t="s">
        <v>276</v>
      </c>
      <c r="H333" s="24" t="s">
        <v>888</v>
      </c>
      <c r="I333" s="24"/>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row>
    <row r="334" spans="1:49" ht="18" customHeight="1" x14ac:dyDescent="0.3">
      <c r="A334" s="1"/>
      <c r="B334" s="21">
        <v>2023</v>
      </c>
      <c r="C334" s="7" t="s">
        <v>601</v>
      </c>
      <c r="D334" s="7">
        <v>1763.21</v>
      </c>
      <c r="E334" s="120" t="s">
        <v>482</v>
      </c>
      <c r="F334" s="120" t="s">
        <v>889</v>
      </c>
      <c r="G334" s="24" t="s">
        <v>199</v>
      </c>
      <c r="H334" s="24" t="s">
        <v>890</v>
      </c>
      <c r="I334" s="24"/>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row>
    <row r="335" spans="1:49" ht="18" customHeight="1" x14ac:dyDescent="0.3">
      <c r="A335" s="1"/>
      <c r="B335" s="21">
        <v>2024</v>
      </c>
      <c r="C335" s="7" t="s">
        <v>599</v>
      </c>
      <c r="D335" s="7">
        <v>1556.24</v>
      </c>
      <c r="E335" s="120" t="s">
        <v>891</v>
      </c>
      <c r="F335" s="120" t="s">
        <v>892</v>
      </c>
      <c r="G335" s="24" t="s">
        <v>194</v>
      </c>
      <c r="H335" s="24" t="s">
        <v>893</v>
      </c>
      <c r="I335" s="24"/>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row>
    <row r="336" spans="1:49" ht="18" customHeight="1" x14ac:dyDescent="0.3">
      <c r="A336" s="1"/>
      <c r="B336" s="21">
        <v>2024</v>
      </c>
      <c r="C336" s="7" t="s">
        <v>599</v>
      </c>
      <c r="D336" s="7">
        <v>1562.58</v>
      </c>
      <c r="E336" s="120" t="s">
        <v>894</v>
      </c>
      <c r="F336" s="120" t="s">
        <v>895</v>
      </c>
      <c r="G336" s="24" t="s">
        <v>197</v>
      </c>
      <c r="H336" s="24" t="s">
        <v>896</v>
      </c>
      <c r="I336" s="24"/>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row>
    <row r="337" spans="1:49" ht="18" customHeight="1" x14ac:dyDescent="0.3">
      <c r="A337" s="1"/>
      <c r="B337" s="21">
        <v>2024</v>
      </c>
      <c r="C337" s="7" t="s">
        <v>599</v>
      </c>
      <c r="D337" s="7">
        <v>1271.54</v>
      </c>
      <c r="E337" s="120" t="s">
        <v>897</v>
      </c>
      <c r="F337" s="120" t="s">
        <v>898</v>
      </c>
      <c r="G337" s="24" t="s">
        <v>201</v>
      </c>
      <c r="H337" s="24" t="s">
        <v>899</v>
      </c>
      <c r="I337" s="24"/>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row>
    <row r="338" spans="1:49" ht="18" customHeight="1" x14ac:dyDescent="0.3">
      <c r="A338" s="1"/>
      <c r="B338" s="21">
        <v>2025</v>
      </c>
      <c r="C338" s="7" t="s">
        <v>599</v>
      </c>
      <c r="D338" s="7">
        <v>1204</v>
      </c>
      <c r="E338" s="120" t="s">
        <v>900</v>
      </c>
      <c r="F338" s="120" t="s">
        <v>901</v>
      </c>
      <c r="G338" s="24" t="s">
        <v>276</v>
      </c>
      <c r="H338" s="24" t="s">
        <v>902</v>
      </c>
      <c r="I338" s="24"/>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row>
    <row r="339" spans="1:49" ht="18" customHeight="1" x14ac:dyDescent="0.3">
      <c r="A339" s="1"/>
      <c r="B339" s="21">
        <v>2025</v>
      </c>
      <c r="C339" s="7" t="s">
        <v>599</v>
      </c>
      <c r="D339" s="7">
        <v>1640.83</v>
      </c>
      <c r="E339" s="120" t="s">
        <v>903</v>
      </c>
      <c r="F339" s="120" t="s">
        <v>904</v>
      </c>
      <c r="G339" s="24" t="s">
        <v>276</v>
      </c>
      <c r="H339" s="24" t="s">
        <v>905</v>
      </c>
      <c r="I339" s="24"/>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row>
    <row r="340" spans="1:49" ht="18" customHeight="1" x14ac:dyDescent="0.3">
      <c r="A340" s="1"/>
      <c r="B340" s="21">
        <v>2025</v>
      </c>
      <c r="C340" s="7" t="s">
        <v>599</v>
      </c>
      <c r="D340" s="7">
        <v>1853</v>
      </c>
      <c r="E340" s="120" t="s">
        <v>906</v>
      </c>
      <c r="F340" s="120" t="s">
        <v>907</v>
      </c>
      <c r="G340" s="24" t="s">
        <v>194</v>
      </c>
      <c r="H340" s="24" t="s">
        <v>908</v>
      </c>
      <c r="I340" s="24"/>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row>
    <row r="341" spans="1:49" ht="18" customHeight="1" x14ac:dyDescent="0.3">
      <c r="A341" s="1"/>
      <c r="B341" s="21">
        <v>2025</v>
      </c>
      <c r="C341" s="7" t="s">
        <v>599</v>
      </c>
      <c r="D341" s="7">
        <v>1554</v>
      </c>
      <c r="E341" s="120" t="s">
        <v>909</v>
      </c>
      <c r="F341" s="120" t="s">
        <v>910</v>
      </c>
      <c r="G341" s="24" t="s">
        <v>194</v>
      </c>
      <c r="H341" s="24" t="s">
        <v>911</v>
      </c>
      <c r="I341" s="24"/>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row>
    <row r="342" spans="1:49" ht="18" customHeight="1" x14ac:dyDescent="0.3">
      <c r="A342" s="1"/>
      <c r="B342" s="21">
        <v>2025</v>
      </c>
      <c r="C342" s="7" t="s">
        <v>599</v>
      </c>
      <c r="D342" s="7">
        <v>1293</v>
      </c>
      <c r="E342" s="120" t="s">
        <v>192</v>
      </c>
      <c r="F342" s="120" t="s">
        <v>912</v>
      </c>
      <c r="G342" s="24" t="s">
        <v>194</v>
      </c>
      <c r="H342" s="24" t="s">
        <v>860</v>
      </c>
      <c r="I342" s="24"/>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row>
    <row r="343" spans="1:49" ht="18" customHeight="1" x14ac:dyDescent="0.3">
      <c r="A343" s="1"/>
      <c r="B343" s="21">
        <v>2025</v>
      </c>
      <c r="C343" s="7" t="s">
        <v>599</v>
      </c>
      <c r="D343" s="7">
        <v>1993.78</v>
      </c>
      <c r="E343" s="120" t="s">
        <v>913</v>
      </c>
      <c r="F343" s="120" t="s">
        <v>914</v>
      </c>
      <c r="G343" s="24" t="s">
        <v>197</v>
      </c>
      <c r="H343" s="24" t="s">
        <v>915</v>
      </c>
      <c r="I343" s="24"/>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row>
    <row r="344" spans="1:49" ht="18" customHeight="1" x14ac:dyDescent="0.3">
      <c r="A344" s="1"/>
      <c r="B344" s="21">
        <v>2025</v>
      </c>
      <c r="C344" s="7" t="s">
        <v>599</v>
      </c>
      <c r="D344" s="7">
        <v>1819.12</v>
      </c>
      <c r="E344" s="120" t="s">
        <v>916</v>
      </c>
      <c r="F344" s="120" t="s">
        <v>917</v>
      </c>
      <c r="G344" s="24" t="s">
        <v>312</v>
      </c>
      <c r="H344" s="24" t="s">
        <v>918</v>
      </c>
      <c r="I344" s="24"/>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row>
    <row r="345" spans="1:49" ht="18" customHeight="1" x14ac:dyDescent="0.3">
      <c r="A345" s="1"/>
      <c r="B345" s="21">
        <v>2025</v>
      </c>
      <c r="C345" s="7" t="s">
        <v>599</v>
      </c>
      <c r="D345" s="7">
        <v>1378</v>
      </c>
      <c r="E345" s="120" t="s">
        <v>919</v>
      </c>
      <c r="F345" s="120" t="s">
        <v>920</v>
      </c>
      <c r="G345" s="24" t="s">
        <v>194</v>
      </c>
      <c r="H345" s="24" t="s">
        <v>921</v>
      </c>
      <c r="I345" s="24"/>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row>
    <row r="346" spans="1:49" ht="18" customHeight="1" x14ac:dyDescent="0.3">
      <c r="A346" s="1"/>
      <c r="B346" s="21">
        <v>2025</v>
      </c>
      <c r="C346" s="7" t="s">
        <v>599</v>
      </c>
      <c r="D346" s="7">
        <v>1549.34</v>
      </c>
      <c r="E346" s="120" t="s">
        <v>241</v>
      </c>
      <c r="F346" s="120" t="s">
        <v>922</v>
      </c>
      <c r="G346" s="24" t="s">
        <v>199</v>
      </c>
      <c r="H346" s="24" t="s">
        <v>923</v>
      </c>
      <c r="I346" s="24"/>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row>
    <row r="347" spans="1:49" ht="18" customHeight="1" x14ac:dyDescent="0.3">
      <c r="A347" s="1"/>
      <c r="B347" s="21">
        <v>2025</v>
      </c>
      <c r="C347" s="7" t="s">
        <v>599</v>
      </c>
      <c r="D347" s="7">
        <v>1313</v>
      </c>
      <c r="E347" s="120" t="s">
        <v>924</v>
      </c>
      <c r="F347" s="120" t="s">
        <v>925</v>
      </c>
      <c r="G347" s="24" t="s">
        <v>204</v>
      </c>
      <c r="H347" s="24" t="s">
        <v>926</v>
      </c>
      <c r="I347" s="24"/>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row>
    <row r="348" spans="1:49" ht="18" customHeight="1" x14ac:dyDescent="0.3">
      <c r="A348" s="1"/>
      <c r="B348" s="28"/>
      <c r="C348" s="30"/>
      <c r="D348" s="28"/>
      <c r="E348" s="28"/>
      <c r="F348" s="28"/>
      <c r="G348" s="28"/>
      <c r="H348" s="2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row>
    <row r="349" spans="1:49" ht="18" customHeight="1" x14ac:dyDescent="0.3">
      <c r="A349" s="1"/>
      <c r="B349" s="28"/>
      <c r="C349" s="30"/>
      <c r="D349" s="28"/>
      <c r="E349" s="28"/>
      <c r="F349" s="28"/>
      <c r="G349" s="28"/>
      <c r="H349" s="2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row>
    <row r="350" spans="1:49" ht="18" customHeight="1" x14ac:dyDescent="0.3">
      <c r="A350" s="1"/>
      <c r="B350" s="28"/>
      <c r="C350" s="30"/>
      <c r="D350" s="28"/>
      <c r="E350" s="28"/>
      <c r="F350" s="28"/>
      <c r="G350" s="28"/>
      <c r="H350" s="2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row>
    <row r="351" spans="1:49" ht="18" customHeight="1" x14ac:dyDescent="0.3">
      <c r="A351" s="1"/>
      <c r="B351" s="28"/>
      <c r="C351" s="30"/>
      <c r="D351" s="28"/>
      <c r="E351" s="28"/>
      <c r="F351" s="28"/>
      <c r="G351" s="28"/>
      <c r="H351" s="2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row>
    <row r="352" spans="1:49" ht="18" customHeight="1" x14ac:dyDescent="0.3">
      <c r="A352" s="1"/>
      <c r="B352" s="28"/>
      <c r="C352" s="30"/>
      <c r="D352" s="28"/>
      <c r="E352" s="28"/>
      <c r="F352" s="28"/>
      <c r="G352" s="28"/>
      <c r="H352" s="2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row>
    <row r="353" spans="1:49" ht="18" customHeight="1" x14ac:dyDescent="0.3">
      <c r="A353" s="1"/>
      <c r="B353" s="28"/>
      <c r="C353" s="30"/>
      <c r="D353" s="28"/>
      <c r="E353" s="28"/>
      <c r="F353" s="28"/>
      <c r="G353" s="28"/>
      <c r="H353" s="2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row>
    <row r="354" spans="1:49" ht="18" customHeight="1" x14ac:dyDescent="0.3">
      <c r="A354" s="1"/>
      <c r="B354" s="28"/>
      <c r="C354" s="30"/>
      <c r="D354" s="28"/>
      <c r="E354" s="28"/>
      <c r="F354" s="28"/>
      <c r="G354" s="28"/>
      <c r="H354" s="2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row>
    <row r="355" spans="1:49" ht="18" customHeight="1" x14ac:dyDescent="0.3">
      <c r="A355" s="1"/>
      <c r="B355" s="28"/>
      <c r="C355" s="30"/>
      <c r="D355" s="28"/>
      <c r="E355" s="28"/>
      <c r="F355" s="28"/>
      <c r="G355" s="28"/>
      <c r="H355" s="2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row>
    <row r="356" spans="1:49" ht="18" customHeight="1" x14ac:dyDescent="0.3">
      <c r="A356" s="1"/>
      <c r="B356" s="28"/>
      <c r="C356" s="30"/>
      <c r="D356" s="28"/>
      <c r="E356" s="28"/>
      <c r="F356" s="28"/>
      <c r="G356" s="28"/>
      <c r="H356" s="2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row>
    <row r="357" spans="1:49" ht="18" customHeight="1" x14ac:dyDescent="0.3">
      <c r="A357" s="1"/>
      <c r="B357" s="28"/>
      <c r="C357" s="30"/>
      <c r="D357" s="28"/>
      <c r="E357" s="28"/>
      <c r="F357" s="28"/>
      <c r="G357" s="28"/>
      <c r="H357" s="2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row>
    <row r="358" spans="1:49" ht="18" customHeight="1" x14ac:dyDescent="0.3">
      <c r="A358" s="1"/>
      <c r="B358" s="28"/>
      <c r="C358" s="30"/>
      <c r="D358" s="28"/>
      <c r="E358" s="28"/>
      <c r="F358" s="28"/>
      <c r="G358" s="28"/>
      <c r="H358" s="2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row>
    <row r="359" spans="1:49" ht="18" customHeight="1" x14ac:dyDescent="0.3">
      <c r="A359" s="1"/>
      <c r="B359" s="28"/>
      <c r="C359" s="30"/>
      <c r="D359" s="28"/>
      <c r="E359" s="28"/>
      <c r="F359" s="28"/>
      <c r="G359" s="28"/>
      <c r="H359" s="2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row>
    <row r="360" spans="1:49" ht="18" customHeight="1" x14ac:dyDescent="0.3">
      <c r="A360" s="1"/>
      <c r="B360" s="28"/>
      <c r="C360" s="30"/>
      <c r="D360" s="28"/>
      <c r="E360" s="28"/>
      <c r="F360" s="28"/>
      <c r="G360" s="28"/>
      <c r="H360" s="2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row>
    <row r="361" spans="1:49" ht="18" customHeight="1" x14ac:dyDescent="0.3">
      <c r="A361" s="1"/>
      <c r="B361" s="28"/>
      <c r="C361" s="30"/>
      <c r="D361" s="28"/>
      <c r="E361" s="28"/>
      <c r="F361" s="28"/>
      <c r="G361" s="28"/>
      <c r="H361" s="2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row>
    <row r="362" spans="1:49" ht="18" customHeight="1" x14ac:dyDescent="0.3">
      <c r="A362" s="1"/>
      <c r="B362" s="28"/>
      <c r="C362" s="30"/>
      <c r="D362" s="28"/>
      <c r="E362" s="28"/>
      <c r="F362" s="28"/>
      <c r="G362" s="28"/>
      <c r="H362" s="2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row>
    <row r="363" spans="1:49" ht="18" customHeight="1" x14ac:dyDescent="0.3">
      <c r="A363" s="1"/>
      <c r="B363" s="28"/>
      <c r="C363" s="30"/>
      <c r="D363" s="28"/>
      <c r="E363" s="28"/>
      <c r="F363" s="28"/>
      <c r="G363" s="28"/>
      <c r="H363" s="2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row>
    <row r="364" spans="1:49" ht="18" customHeight="1" x14ac:dyDescent="0.3">
      <c r="A364" s="1"/>
      <c r="B364" s="28"/>
      <c r="C364" s="30"/>
      <c r="D364" s="28"/>
      <c r="E364" s="28"/>
      <c r="F364" s="28"/>
      <c r="G364" s="28"/>
      <c r="H364" s="2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row>
    <row r="365" spans="1:49" ht="18" customHeight="1" x14ac:dyDescent="0.3">
      <c r="A365" s="1"/>
      <c r="B365" s="28"/>
      <c r="C365" s="30"/>
      <c r="D365" s="28"/>
      <c r="E365" s="28"/>
      <c r="F365" s="28"/>
      <c r="G365" s="28"/>
      <c r="H365" s="2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row>
    <row r="366" spans="1:49" ht="18" customHeight="1" x14ac:dyDescent="0.3">
      <c r="A366" s="1"/>
      <c r="B366" s="28"/>
      <c r="C366" s="30"/>
      <c r="D366" s="28"/>
      <c r="E366" s="28"/>
      <c r="F366" s="28"/>
      <c r="G366" s="28"/>
      <c r="H366" s="2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row>
    <row r="367" spans="1:49" ht="18" customHeight="1" x14ac:dyDescent="0.3">
      <c r="A367" s="1"/>
      <c r="B367" s="28"/>
      <c r="C367" s="30"/>
      <c r="D367" s="28"/>
      <c r="E367" s="28"/>
      <c r="F367" s="28"/>
      <c r="G367" s="28"/>
      <c r="H367" s="2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row>
    <row r="368" spans="1:49" ht="18" customHeight="1" x14ac:dyDescent="0.3">
      <c r="A368" s="1"/>
      <c r="B368" s="28"/>
      <c r="C368" s="30"/>
      <c r="D368" s="28"/>
      <c r="E368" s="28"/>
      <c r="F368" s="28"/>
      <c r="G368" s="28"/>
      <c r="H368" s="2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row>
    <row r="369" spans="1:49" ht="18" customHeight="1" x14ac:dyDescent="0.3">
      <c r="A369" s="1"/>
      <c r="B369" s="28"/>
      <c r="C369" s="30"/>
      <c r="D369" s="28"/>
      <c r="E369" s="28"/>
      <c r="F369" s="28"/>
      <c r="G369" s="28"/>
      <c r="H369" s="2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row>
    <row r="370" spans="1:49" ht="18" customHeight="1" x14ac:dyDescent="0.3">
      <c r="A370" s="1"/>
      <c r="B370" s="28"/>
      <c r="C370" s="30"/>
      <c r="D370" s="28"/>
      <c r="E370" s="28"/>
      <c r="F370" s="28"/>
      <c r="G370" s="28"/>
      <c r="H370" s="2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row>
    <row r="371" spans="1:49" ht="18" customHeight="1" x14ac:dyDescent="0.3">
      <c r="A371" s="1"/>
      <c r="B371" s="28"/>
      <c r="C371" s="30"/>
      <c r="D371" s="28"/>
      <c r="E371" s="28"/>
      <c r="F371" s="28"/>
      <c r="G371" s="28"/>
      <c r="H371" s="2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row>
    <row r="372" spans="1:49" ht="18" customHeight="1" x14ac:dyDescent="0.3">
      <c r="A372" s="1"/>
      <c r="B372" s="28"/>
      <c r="C372" s="30"/>
      <c r="D372" s="28"/>
      <c r="E372" s="28"/>
      <c r="F372" s="28"/>
      <c r="G372" s="28"/>
      <c r="H372" s="2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row>
    <row r="373" spans="1:49" ht="18" customHeight="1" x14ac:dyDescent="0.3">
      <c r="A373" s="1"/>
      <c r="B373" s="28"/>
      <c r="C373" s="30"/>
      <c r="D373" s="28"/>
      <c r="E373" s="28"/>
      <c r="F373" s="28"/>
      <c r="G373" s="28"/>
      <c r="H373" s="2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row>
    <row r="374" spans="1:49" ht="18" customHeight="1" x14ac:dyDescent="0.3">
      <c r="A374" s="1"/>
      <c r="B374" s="28"/>
      <c r="C374" s="30"/>
      <c r="D374" s="28"/>
      <c r="E374" s="28"/>
      <c r="F374" s="28"/>
      <c r="G374" s="28"/>
      <c r="H374" s="2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row>
    <row r="375" spans="1:49" ht="18" customHeight="1" x14ac:dyDescent="0.3">
      <c r="A375" s="1"/>
      <c r="B375" s="28"/>
      <c r="C375" s="30"/>
      <c r="D375" s="28"/>
      <c r="E375" s="28"/>
      <c r="F375" s="28"/>
      <c r="G375" s="28"/>
      <c r="H375" s="2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row>
    <row r="376" spans="1:49" ht="18" customHeight="1" x14ac:dyDescent="0.3">
      <c r="A376" s="1"/>
      <c r="B376" s="28"/>
      <c r="C376" s="30"/>
      <c r="D376" s="28"/>
      <c r="E376" s="28"/>
      <c r="F376" s="28"/>
      <c r="G376" s="28"/>
      <c r="H376" s="2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row>
    <row r="377" spans="1:49" ht="18" customHeight="1" x14ac:dyDescent="0.3">
      <c r="A377" s="1"/>
      <c r="B377" s="28"/>
      <c r="C377" s="30"/>
      <c r="D377" s="28"/>
      <c r="E377" s="28"/>
      <c r="F377" s="28"/>
      <c r="G377" s="28"/>
      <c r="H377" s="2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row>
    <row r="378" spans="1:49" ht="18" customHeight="1" x14ac:dyDescent="0.3">
      <c r="A378" s="1"/>
      <c r="B378" s="28"/>
      <c r="C378" s="30"/>
      <c r="D378" s="28"/>
      <c r="E378" s="28"/>
      <c r="F378" s="28"/>
      <c r="G378" s="28"/>
      <c r="H378" s="2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row>
    <row r="379" spans="1:49" ht="18" customHeight="1" x14ac:dyDescent="0.3">
      <c r="A379" s="1"/>
      <c r="B379" s="28"/>
      <c r="C379" s="30"/>
      <c r="D379" s="28"/>
      <c r="E379" s="28"/>
      <c r="F379" s="28"/>
      <c r="G379" s="28"/>
      <c r="H379" s="2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row>
    <row r="380" spans="1:49" ht="18" customHeight="1" x14ac:dyDescent="0.3">
      <c r="A380" s="1"/>
      <c r="B380" s="28"/>
      <c r="C380" s="30"/>
      <c r="D380" s="28"/>
      <c r="E380" s="28"/>
      <c r="F380" s="28"/>
      <c r="G380" s="28"/>
      <c r="H380" s="2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row>
    <row r="381" spans="1:49" ht="18" customHeight="1" x14ac:dyDescent="0.3">
      <c r="A381" s="1"/>
      <c r="B381" s="28"/>
      <c r="C381" s="30"/>
      <c r="D381" s="28"/>
      <c r="E381" s="28"/>
      <c r="F381" s="28"/>
      <c r="G381" s="28"/>
      <c r="H381" s="2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row>
    <row r="382" spans="1:49" ht="18" customHeight="1" x14ac:dyDescent="0.3">
      <c r="A382" s="1"/>
      <c r="B382" s="28"/>
      <c r="C382" s="30"/>
      <c r="D382" s="28"/>
      <c r="E382" s="28"/>
      <c r="F382" s="28"/>
      <c r="G382" s="28"/>
      <c r="H382" s="2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row>
    <row r="383" spans="1:49" ht="18" customHeight="1" x14ac:dyDescent="0.3">
      <c r="A383" s="1"/>
      <c r="B383" s="28"/>
      <c r="C383" s="30"/>
      <c r="D383" s="28"/>
      <c r="E383" s="28"/>
      <c r="F383" s="28"/>
      <c r="G383" s="28"/>
      <c r="H383" s="2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row>
    <row r="384" spans="1:49" ht="18" customHeight="1" x14ac:dyDescent="0.3">
      <c r="A384" s="1"/>
      <c r="B384" s="28"/>
      <c r="C384" s="30"/>
      <c r="D384" s="28"/>
      <c r="E384" s="28"/>
      <c r="F384" s="28"/>
      <c r="G384" s="28"/>
      <c r="H384" s="2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row>
    <row r="385" spans="1:49" ht="18" customHeight="1" x14ac:dyDescent="0.3">
      <c r="A385" s="1"/>
      <c r="B385" s="28"/>
      <c r="C385" s="30"/>
      <c r="D385" s="28"/>
      <c r="E385" s="28"/>
      <c r="F385" s="28"/>
      <c r="G385" s="28"/>
      <c r="H385" s="2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row>
    <row r="386" spans="1:49" ht="18" customHeight="1" x14ac:dyDescent="0.3">
      <c r="A386" s="1"/>
      <c r="B386" s="28"/>
      <c r="C386" s="30"/>
      <c r="D386" s="28"/>
      <c r="E386" s="28"/>
      <c r="F386" s="28"/>
      <c r="G386" s="28"/>
      <c r="H386" s="2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row>
    <row r="387" spans="1:49" ht="18" customHeight="1" x14ac:dyDescent="0.3">
      <c r="A387" s="1"/>
      <c r="B387" s="28"/>
      <c r="C387" s="30"/>
      <c r="D387" s="28"/>
      <c r="E387" s="28"/>
      <c r="F387" s="28"/>
      <c r="G387" s="28"/>
      <c r="H387" s="2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row>
    <row r="388" spans="1:49" ht="18" customHeight="1" x14ac:dyDescent="0.3">
      <c r="A388" s="1"/>
      <c r="B388" s="28"/>
      <c r="C388" s="30"/>
      <c r="D388" s="28"/>
      <c r="E388" s="28"/>
      <c r="F388" s="28"/>
      <c r="G388" s="28"/>
      <c r="H388" s="2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row>
    <row r="389" spans="1:49" ht="18" customHeight="1" x14ac:dyDescent="0.3">
      <c r="A389" s="1"/>
      <c r="B389" s="28"/>
      <c r="C389" s="30"/>
      <c r="D389" s="28"/>
      <c r="E389" s="28"/>
      <c r="F389" s="28"/>
      <c r="G389" s="28"/>
      <c r="H389" s="2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row>
    <row r="390" spans="1:49" ht="18" customHeight="1" x14ac:dyDescent="0.3">
      <c r="A390" s="1"/>
      <c r="B390" s="28"/>
      <c r="C390" s="30"/>
      <c r="D390" s="28"/>
      <c r="E390" s="28"/>
      <c r="F390" s="28"/>
      <c r="G390" s="28"/>
      <c r="H390" s="2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row>
    <row r="391" spans="1:49" ht="18" customHeight="1" x14ac:dyDescent="0.3">
      <c r="A391" s="1"/>
      <c r="B391" s="28"/>
      <c r="C391" s="30"/>
      <c r="D391" s="28"/>
      <c r="E391" s="28"/>
      <c r="F391" s="28"/>
      <c r="G391" s="28"/>
      <c r="H391" s="2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row>
    <row r="392" spans="1:49" ht="18" customHeight="1" x14ac:dyDescent="0.3">
      <c r="A392" s="1"/>
      <c r="B392" s="28"/>
      <c r="C392" s="30"/>
      <c r="D392" s="28"/>
      <c r="E392" s="28"/>
      <c r="F392" s="28"/>
      <c r="G392" s="28"/>
      <c r="H392" s="2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row>
    <row r="393" spans="1:49" ht="18" customHeight="1" x14ac:dyDescent="0.3">
      <c r="A393" s="1"/>
      <c r="B393" s="28"/>
      <c r="C393" s="30"/>
      <c r="D393" s="28"/>
      <c r="E393" s="28"/>
      <c r="F393" s="28"/>
      <c r="G393" s="28"/>
      <c r="H393" s="2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row>
    <row r="394" spans="1:49" ht="18" customHeight="1" x14ac:dyDescent="0.3">
      <c r="A394" s="1"/>
      <c r="B394" s="28"/>
      <c r="C394" s="30"/>
      <c r="D394" s="28"/>
      <c r="E394" s="28"/>
      <c r="F394" s="28"/>
      <c r="G394" s="28"/>
      <c r="H394" s="2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row>
    <row r="395" spans="1:49" ht="18" customHeight="1" x14ac:dyDescent="0.3">
      <c r="A395" s="1"/>
      <c r="B395" s="28"/>
      <c r="C395" s="30"/>
      <c r="D395" s="28"/>
      <c r="E395" s="28"/>
      <c r="F395" s="28"/>
      <c r="G395" s="28"/>
      <c r="H395" s="2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row>
    <row r="396" spans="1:49" ht="18" customHeight="1" x14ac:dyDescent="0.3">
      <c r="A396" s="1"/>
      <c r="B396" s="28"/>
      <c r="C396" s="30"/>
      <c r="D396" s="28"/>
      <c r="E396" s="28"/>
      <c r="F396" s="28"/>
      <c r="G396" s="28"/>
      <c r="H396" s="2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row>
    <row r="397" spans="1:49" ht="18" customHeight="1" x14ac:dyDescent="0.3">
      <c r="A397" s="1"/>
      <c r="B397" s="28"/>
      <c r="C397" s="30"/>
      <c r="D397" s="28"/>
      <c r="E397" s="28"/>
      <c r="F397" s="28"/>
      <c r="G397" s="28"/>
      <c r="H397" s="2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row>
    <row r="398" spans="1:49" ht="18" customHeight="1" x14ac:dyDescent="0.3">
      <c r="A398" s="1"/>
      <c r="B398" s="28"/>
      <c r="C398" s="30"/>
      <c r="D398" s="28"/>
      <c r="E398" s="28"/>
      <c r="F398" s="28"/>
      <c r="G398" s="28"/>
      <c r="H398" s="2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row>
    <row r="399" spans="1:49" ht="18" customHeight="1" x14ac:dyDescent="0.3">
      <c r="A399" s="1"/>
      <c r="B399" s="28"/>
      <c r="C399" s="30"/>
      <c r="D399" s="28"/>
      <c r="E399" s="28"/>
      <c r="F399" s="28"/>
      <c r="G399" s="28"/>
      <c r="H399" s="2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row>
    <row r="400" spans="1:49" ht="18" customHeight="1" x14ac:dyDescent="0.3">
      <c r="A400" s="1"/>
      <c r="B400" s="28"/>
      <c r="C400" s="30"/>
      <c r="D400" s="28"/>
      <c r="E400" s="28"/>
      <c r="F400" s="28"/>
      <c r="G400" s="28"/>
      <c r="H400" s="2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row>
    <row r="401" spans="1:49" ht="18" customHeight="1" x14ac:dyDescent="0.3">
      <c r="A401" s="1"/>
      <c r="B401" s="28"/>
      <c r="C401" s="30"/>
      <c r="D401" s="28"/>
      <c r="E401" s="28"/>
      <c r="F401" s="28"/>
      <c r="G401" s="28"/>
      <c r="H401" s="2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row>
    <row r="402" spans="1:49" ht="18" customHeight="1" x14ac:dyDescent="0.3">
      <c r="A402" s="1"/>
      <c r="B402" s="28"/>
      <c r="C402" s="30"/>
      <c r="D402" s="28"/>
      <c r="E402" s="28"/>
      <c r="F402" s="28"/>
      <c r="G402" s="28"/>
      <c r="H402" s="2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row>
    <row r="403" spans="1:49" ht="18" customHeight="1" x14ac:dyDescent="0.3">
      <c r="A403" s="1"/>
      <c r="B403" s="28"/>
      <c r="C403" s="30"/>
      <c r="D403" s="28"/>
      <c r="E403" s="28"/>
      <c r="F403" s="28"/>
      <c r="G403" s="28"/>
      <c r="H403" s="2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row>
  </sheetData>
  <conditionalFormatting sqref="B17:H17">
    <cfRule type="cellIs" dxfId="0" priority="1" operator="equal">
      <formula>0</formula>
    </cfRule>
  </conditionalFormatting>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8</vt:i4>
      </vt:variant>
      <vt:variant>
        <vt:lpstr>Intervalos Nomeados</vt:lpstr>
      </vt:variant>
      <vt:variant>
        <vt:i4>62</vt:i4>
      </vt:variant>
    </vt:vector>
  </HeadingPairs>
  <TitlesOfParts>
    <vt:vector size="70" baseType="lpstr">
      <vt:lpstr>Dashboard</vt:lpstr>
      <vt:lpstr>Balanço Patrimonial</vt:lpstr>
      <vt:lpstr>DRE + DCF</vt:lpstr>
      <vt:lpstr>DFC</vt:lpstr>
      <vt:lpstr>Projeções - Receita Varejo</vt:lpstr>
      <vt:lpstr>Projeções - Receita Financeira</vt:lpstr>
      <vt:lpstr>Painel de Índices</vt:lpstr>
      <vt:lpstr>Lojas</vt:lpstr>
      <vt:lpstr>ACOES_EMITIDAS</vt:lpstr>
      <vt:lpstr>ATIVO_OPERACIONAL</vt:lpstr>
      <vt:lpstr>ATIVOS_NAO_OPERACIONAIS</vt:lpstr>
      <vt:lpstr>CAPEX</vt:lpstr>
      <vt:lpstr>CAPEX_CD</vt:lpstr>
      <vt:lpstr>CAPEX_NOVAS_LOJAS</vt:lpstr>
      <vt:lpstr>CAPEX_REFORMA</vt:lpstr>
      <vt:lpstr>CAPEX_TI</vt:lpstr>
      <vt:lpstr>CAPITAL_DE_GIRO</vt:lpstr>
      <vt:lpstr>CAPITAL_DE_GIRO_RL_2023</vt:lpstr>
      <vt:lpstr>CAPITAL_GIRO_2016</vt:lpstr>
      <vt:lpstr>CAPITAL_GIRO_2017</vt:lpstr>
      <vt:lpstr>CAPITAL_GIRO_2018</vt:lpstr>
      <vt:lpstr>CAPITAL_GIRO_2019</vt:lpstr>
      <vt:lpstr>CAPITAL_GIRO_2020</vt:lpstr>
      <vt:lpstr>CAPITAL_GIRO_2021</vt:lpstr>
      <vt:lpstr>CAPITAL_GIRO_2022</vt:lpstr>
      <vt:lpstr>CAPITAL_GIRO_2023</vt:lpstr>
      <vt:lpstr>CARTOES_TOTAL_2023</vt:lpstr>
      <vt:lpstr>CMV</vt:lpstr>
      <vt:lpstr>COTACAO</vt:lpstr>
      <vt:lpstr>CREDITOS_TRIBUTARIOS</vt:lpstr>
      <vt:lpstr>CURVA_MATURACAO</vt:lpstr>
      <vt:lpstr>CUSTO_DA_DIVIDA</vt:lpstr>
      <vt:lpstr>DESP_DERIVATIVOS</vt:lpstr>
      <vt:lpstr>DESP_FIN</vt:lpstr>
      <vt:lpstr>DESP_VAR_CAMBIAL</vt:lpstr>
      <vt:lpstr>DESPESAS_OPERACIONAIS</vt:lpstr>
      <vt:lpstr>DIVIDA_BRUTA</vt:lpstr>
      <vt:lpstr>DIVIDA_LIQUIDA</vt:lpstr>
      <vt:lpstr>EBIT</vt:lpstr>
      <vt:lpstr>EBIT_RECORRENTE</vt:lpstr>
      <vt:lpstr>EBITDA</vt:lpstr>
      <vt:lpstr>EBITDA_RECORRENTE</vt:lpstr>
      <vt:lpstr>FCO</vt:lpstr>
      <vt:lpstr>IRPJ_CSLL</vt:lpstr>
      <vt:lpstr>JUROS_APLICACOES_FIN</vt:lpstr>
      <vt:lpstr>LOJAS_ABERTURA</vt:lpstr>
      <vt:lpstr>LOJAS_AREA_TOTAL</vt:lpstr>
      <vt:lpstr>LOJAS_MATURIDADE</vt:lpstr>
      <vt:lpstr>LOJAS_TAMANHO</vt:lpstr>
      <vt:lpstr>LUCRO_LIQUIDO</vt:lpstr>
      <vt:lpstr>NOPAT</vt:lpstr>
      <vt:lpstr>NOVAS_LOJAS</vt:lpstr>
      <vt:lpstr>NUMERO_LOJAS</vt:lpstr>
      <vt:lpstr>PASSIVO_OPERACIONAL</vt:lpstr>
      <vt:lpstr>PERDAS_CREDITOS_LIQUIDAS</vt:lpstr>
      <vt:lpstr>PME</vt:lpstr>
      <vt:lpstr>PMP</vt:lpstr>
      <vt:lpstr>PMR</vt:lpstr>
      <vt:lpstr>RECEITA_BRUTA</vt:lpstr>
      <vt:lpstr>RECEITA_LIQUIDA</vt:lpstr>
      <vt:lpstr>REINVESTIMENTO</vt:lpstr>
      <vt:lpstr>RL_FIN</vt:lpstr>
      <vt:lpstr>RL_OUTROS</vt:lpstr>
      <vt:lpstr>RL_VAREJO</vt:lpstr>
      <vt:lpstr>ROIC</vt:lpstr>
      <vt:lpstr>TAXA_REINVESTIMENTO</vt:lpstr>
      <vt:lpstr>VALOR_ACAO</vt:lpstr>
      <vt:lpstr>VALOR_EQUITY</vt:lpstr>
      <vt:lpstr>VALOR_FIRMA</vt:lpstr>
      <vt:lpstr>VAR_CAPITAL_GIRO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lzweig</dc:creator>
  <cp:lastModifiedBy>Lucas</cp:lastModifiedBy>
  <cp:lastPrinted>2024-05-14T16:07:43Z</cp:lastPrinted>
  <dcterms:created xsi:type="dcterms:W3CDTF">2013-04-03T15:49:21Z</dcterms:created>
  <dcterms:modified xsi:type="dcterms:W3CDTF">2026-05-28T18:43:17Z</dcterms:modified>
</cp:coreProperties>
</file>